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els" sheetId="1" state="visible" r:id="rId3"/>
    <sheet name="Find a Hotel" sheetId="2" state="visible" r:id="rId4"/>
    <sheet name="Firebase Sync Notes" sheetId="3" state="visible" r:id="rId5"/>
  </sheets>
  <definedNames>
    <definedName function="false" hidden="true" localSheetId="0" name="_xlnm._FilterDatabase" vbProcedure="false">Hotels!$A$1:$U$300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<sst xmlns="http://schemas.openxmlformats.org/spreadsheetml/2006/main" count="133" uniqueCount="107">
  <si>
    <t xml:space="preserve">Hotel ID</t>
  </si>
  <si>
    <t xml:space="preserve">Hotel Name</t>
  </si>
  <si>
    <t xml:space="preserve">District</t>
  </si>
  <si>
    <t xml:space="preserve">Location/Town</t>
  </si>
  <si>
    <t xml:space="preserve">Category</t>
  </si>
  <si>
    <t xml:space="preserve">Star Rating</t>
  </si>
  <si>
    <t xml:space="preserve">Rooms Available</t>
  </si>
  <si>
    <t xml:space="preserve">Base Rate (Per Night)</t>
  </si>
  <si>
    <t xml:space="preserve">Peak Season Rate</t>
  </si>
  <si>
    <t xml:space="preserve">Off Season Rate</t>
  </si>
  <si>
    <t xml:space="preserve">Extra Bed Charge</t>
  </si>
  <si>
    <t xml:space="preserve">Meal Plan</t>
  </si>
  <si>
    <t xml:space="preserve">Contact Person</t>
  </si>
  <si>
    <t xml:space="preserve">Phone</t>
  </si>
  <si>
    <t xml:space="preserve">WhatsApp</t>
  </si>
  <si>
    <t xml:space="preserve">Email</t>
  </si>
  <si>
    <t xml:space="preserve">Status</t>
  </si>
  <si>
    <t xml:space="preserve">Firebase Synced?</t>
  </si>
  <si>
    <t xml:space="preserve">Last Verified Date</t>
  </si>
  <si>
    <t xml:space="preserve">Notes</t>
  </si>
  <si>
    <t xml:space="preserve">Image/Link</t>
  </si>
  <si>
    <t xml:space="preserve">HTL-001</t>
  </si>
  <si>
    <t xml:space="preserve">Hotel Apple Blossom</t>
  </si>
  <si>
    <t xml:space="preserve">Manali</t>
  </si>
  <si>
    <t xml:space="preserve">Manali Mall Road</t>
  </si>
  <si>
    <t xml:space="preserve">Budget</t>
  </si>
  <si>
    <t xml:space="preserve">CP</t>
  </si>
  <si>
    <t xml:space="preserve">Rakesh Thakur</t>
  </si>
  <si>
    <t xml:space="preserve">9876500001</t>
  </si>
  <si>
    <t xml:space="preserve">appleblossom@example.com</t>
  </si>
  <si>
    <t xml:space="preserve">Active</t>
  </si>
  <si>
    <t xml:space="preserve">Yes</t>
  </si>
  <si>
    <t xml:space="preserve">2026-06-01</t>
  </si>
  <si>
    <t xml:space="preserve">Reliable, good for budget packages</t>
  </si>
  <si>
    <t xml:space="preserve">HTL-002</t>
  </si>
  <si>
    <t xml:space="preserve">Snow Valley Resort</t>
  </si>
  <si>
    <t xml:space="preserve">Old Manali</t>
  </si>
  <si>
    <t xml:space="preserve">Premium</t>
  </si>
  <si>
    <t xml:space="preserve">MAP</t>
  </si>
  <si>
    <t xml:space="preserve">Sunita Devi</t>
  </si>
  <si>
    <t xml:space="preserve">9876500002</t>
  </si>
  <si>
    <t xml:space="preserve">snowvalley@example.com</t>
  </si>
  <si>
    <t xml:space="preserve">2026-05-20</t>
  </si>
  <si>
    <t xml:space="preserve">Good for honeymoon pkgs, mountain view rooms</t>
  </si>
  <si>
    <t xml:space="preserve">HTL-003</t>
  </si>
  <si>
    <t xml:space="preserve">Heritage Inn Shimla</t>
  </si>
  <si>
    <t xml:space="preserve">Shimla</t>
  </si>
  <si>
    <t xml:space="preserve">Mall Road</t>
  </si>
  <si>
    <t xml:space="preserve">Vikram Negi</t>
  </si>
  <si>
    <t xml:space="preserve">9876500003</t>
  </si>
  <si>
    <t xml:space="preserve">heritageinn@example.com</t>
  </si>
  <si>
    <t xml:space="preserve">No</t>
  </si>
  <si>
    <t xml:space="preserve">2026-04-10</t>
  </si>
  <si>
    <t xml:space="preserve">Need to push to Firebase</t>
  </si>
  <si>
    <t xml:space="preserve">Find a Hotel — Quick Lookup</t>
  </si>
  <si>
    <t xml:space="preserve">Set filters below. Table updates automatically from the Hotels sheet (it's just sorted/filtered there).</t>
  </si>
  <si>
    <t xml:space="preserve">HOW TO USE:</t>
  </si>
  <si>
    <t xml:space="preserve">1. Go to the 'Hotels' sheet.</t>
  </si>
  <si>
    <t xml:space="preserve">2. Click the filter arrow on 'District' and pick the district you need.</t>
  </si>
  <si>
    <t xml:space="preserve">3. Click the filter arrow on 'Status' and select 'Active' only.</t>
  </si>
  <si>
    <t xml:space="preserve">4. Click the filter arrow on 'Category' (Budget/Standard/Premium/Luxury) to match the package budget.</t>
  </si>
  <si>
    <t xml:space="preserve">5. Sort 'Base Rate (Per Night)' ascending/descending using the filter arrow if comparing prices.</t>
  </si>
  <si>
    <t xml:space="preserve">6. The visible rows are your shortlist — everything else is just hidden, not deleted.</t>
  </si>
  <si>
    <t xml:space="preserve">QUICK SUMMARY (auto-calculated)</t>
  </si>
  <si>
    <t xml:space="preserve">Total hotels on file</t>
  </si>
  <si>
    <t xml:space="preserve">Active hotels</t>
  </si>
  <si>
    <t xml:space="preserve">Pending verification</t>
  </si>
  <si>
    <t xml:space="preserve">Not yet synced to Firebase</t>
  </si>
  <si>
    <t xml:space="preserve">Average base rate (Active hotels)</t>
  </si>
  <si>
    <t xml:space="preserve">ACTIVE HOTELS BY DISTRICT</t>
  </si>
  <si>
    <t xml:space="preserve">Active Count</t>
  </si>
  <si>
    <t xml:space="preserve">Lowest Active Rate</t>
  </si>
  <si>
    <t xml:space="preserve">Kullu</t>
  </si>
  <si>
    <t xml:space="preserve">Kangra</t>
  </si>
  <si>
    <t xml:space="preserve">Spiti</t>
  </si>
  <si>
    <t xml:space="preserve">Kinnaur</t>
  </si>
  <si>
    <t xml:space="preserve">Solan</t>
  </si>
  <si>
    <t xml:space="preserve">Sirmaur</t>
  </si>
  <si>
    <t xml:space="preserve">Firebase Sync — Field Mapping Reference</t>
  </si>
  <si>
    <t xml:space="preserve">Use this as a cheat-sheet when manually pushing a hotel from this sheet into the garg-enterprise Firebase database.</t>
  </si>
  <si>
    <t xml:space="preserve">Sheet Column</t>
  </si>
  <si>
    <t xml:space="preserve">Suggested Firebase Field</t>
  </si>
  <si>
    <t xml:space="preserve">hotel_id / key</t>
  </si>
  <si>
    <t xml:space="preserve">Use as the Firebase node key, e.g. hotels/HTL-001</t>
  </si>
  <si>
    <t xml:space="preserve">name</t>
  </si>
  <si>
    <t xml:space="preserve">district</t>
  </si>
  <si>
    <t xml:space="preserve">Should match the slug casing used in districts node</t>
  </si>
  <si>
    <t xml:space="preserve">location</t>
  </si>
  <si>
    <t xml:space="preserve">category</t>
  </si>
  <si>
    <t xml:space="preserve">budget / standard / premium / luxury (lowercase for consistency)</t>
  </si>
  <si>
    <t xml:space="preserve">star_rating</t>
  </si>
  <si>
    <t xml:space="preserve">Number 1-5</t>
  </si>
  <si>
    <t xml:space="preserve">rooms_available</t>
  </si>
  <si>
    <t xml:space="preserve">base_rate</t>
  </si>
  <si>
    <t xml:space="preserve">Mirrors package_pricing_matrix tiering logic if reused</t>
  </si>
  <si>
    <t xml:space="preserve">peak_rate</t>
  </si>
  <si>
    <t xml:space="preserve">off_season_rate</t>
  </si>
  <si>
    <t xml:space="preserve">extra_bed_charge</t>
  </si>
  <si>
    <t xml:space="preserve">meal_plan</t>
  </si>
  <si>
    <t xml:space="preserve">EP / CP / MAP / AP</t>
  </si>
  <si>
    <t xml:space="preserve">Phone / WhatsApp</t>
  </si>
  <si>
    <t xml:space="preserve">contact.phone / contact.whatsapp</t>
  </si>
  <si>
    <t xml:space="preserve">Nest under a contact object if following existing schema conventions</t>
  </si>
  <si>
    <t xml:space="preserve">status</t>
  </si>
  <si>
    <t xml:space="preserve">Set to 'inactive' hotels should not render on site even if node exists</t>
  </si>
  <si>
    <t xml:space="preserve">image_url</t>
  </si>
  <si>
    <t xml:space="preserve">Point to your existing image hosting pattern, not hotel's own site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</si>
</sst>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yyyy\-mm\-dd"/>
    <numFmt numFmtId="167" formatCode="General"/>
    <numFmt numFmtId="168" formatCode="\₹#,##0;\₹#,##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2A2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2A24"/>
      <name val="Arial"/>
      <family val="0"/>
      <charset val="1"/>
    </font>
    <font>
      <b val="true"/>
      <sz val="11"/>
      <color rgb="FFB8860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24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2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FF2D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DFF2D8"/>
        </patternFill>
      </fill>
    </dxf>
    <dxf>
      <fill>
        <patternFill>
          <bgColor rgb="FFF2D8D8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2D8"/>
      <rgbColor rgb="FFFFFF99"/>
      <rgbColor rgb="FF99CCFF"/>
      <rgbColor rgb="FFFF99CC"/>
      <rgbColor rgb="FFCC99FF"/>
      <rgbColor rgb="FFF2D8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2" min="10" style="0" width="14"/>
    <col collapsed="false" customWidth="true" hidden="false" outlineLevel="0" max="13" min="13" style="0" width="16"/>
    <col collapsed="false" customWidth="true" hidden="false" outlineLevel="0" max="15" min="14" style="0" width="14"/>
    <col collapsed="false" customWidth="true" hidden="false" outlineLevel="0" max="16" min="16" style="0" width="22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0" min="20" style="0" width="28"/>
    <col collapsed="false" customWidth="true" hidden="false" outlineLevel="0" max="21" min="21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n">
        <v>2</v>
      </c>
      <c r="G2" s="2" t="n">
        <v>18</v>
      </c>
      <c r="H2" s="3" t="n">
        <v>1800</v>
      </c>
      <c r="I2" s="3" t="n">
        <v>2800</v>
      </c>
      <c r="J2" s="3" t="n">
        <v>1200</v>
      </c>
      <c r="K2" s="3" t="n">
        <v>500</v>
      </c>
      <c r="L2" s="2" t="s">
        <v>26</v>
      </c>
      <c r="M2" s="2" t="s">
        <v>27</v>
      </c>
      <c r="N2" s="2" t="s">
        <v>28</v>
      </c>
      <c r="O2" s="2" t="s">
        <v>28</v>
      </c>
      <c r="P2" s="2" t="s">
        <v>29</v>
      </c>
      <c r="Q2" s="2" t="s">
        <v>30</v>
      </c>
      <c r="R2" s="2" t="s">
        <v>31</v>
      </c>
      <c r="S2" s="4" t="s">
        <v>32</v>
      </c>
      <c r="T2" s="2" t="s">
        <v>33</v>
      </c>
      <c r="U2" s="2"/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23</v>
      </c>
      <c r="D3" s="2" t="s">
        <v>36</v>
      </c>
      <c r="E3" s="2" t="s">
        <v>37</v>
      </c>
      <c r="F3" s="2" t="n">
        <v>4</v>
      </c>
      <c r="G3" s="2" t="n">
        <v>22</v>
      </c>
      <c r="H3" s="3" t="n">
        <v>4500</v>
      </c>
      <c r="I3" s="3" t="n">
        <v>7000</v>
      </c>
      <c r="J3" s="3" t="n">
        <v>3200</v>
      </c>
      <c r="K3" s="3" t="n">
        <v>900</v>
      </c>
      <c r="L3" s="2" t="s">
        <v>38</v>
      </c>
      <c r="M3" s="2" t="s">
        <v>39</v>
      </c>
      <c r="N3" s="2" t="s">
        <v>40</v>
      </c>
      <c r="O3" s="2" t="s">
        <v>40</v>
      </c>
      <c r="P3" s="2" t="s">
        <v>41</v>
      </c>
      <c r="Q3" s="2" t="s">
        <v>30</v>
      </c>
      <c r="R3" s="2" t="s">
        <v>31</v>
      </c>
      <c r="S3" s="4" t="s">
        <v>42</v>
      </c>
      <c r="T3" s="2" t="s">
        <v>43</v>
      </c>
      <c r="U3" s="2"/>
    </row>
    <row r="4" customFormat="false" ht="15" hidden="false" customHeight="false" outlineLevel="0" collapsed="false">
      <c r="A4" s="2" t="s">
        <v>44</v>
      </c>
      <c r="B4" s="2" t="s">
        <v>45</v>
      </c>
      <c r="C4" s="2" t="s">
        <v>46</v>
      </c>
      <c r="D4" s="2" t="s">
        <v>47</v>
      </c>
      <c r="E4" s="2" t="s">
        <v>37</v>
      </c>
      <c r="F4" s="2" t="n">
        <v>3</v>
      </c>
      <c r="G4" s="2" t="n">
        <v>15</v>
      </c>
      <c r="H4" s="3" t="n">
        <v>3500</v>
      </c>
      <c r="I4" s="3" t="n">
        <v>5500</v>
      </c>
      <c r="J4" s="3" t="n">
        <v>2800</v>
      </c>
      <c r="K4" s="3" t="n">
        <v>700</v>
      </c>
      <c r="L4" s="2" t="s">
        <v>26</v>
      </c>
      <c r="M4" s="2" t="s">
        <v>48</v>
      </c>
      <c r="N4" s="2" t="s">
        <v>49</v>
      </c>
      <c r="O4" s="2"/>
      <c r="P4" s="2" t="s">
        <v>50</v>
      </c>
      <c r="Q4" s="2" t="s">
        <v>30</v>
      </c>
      <c r="R4" s="2" t="s">
        <v>51</v>
      </c>
      <c r="S4" s="4" t="s">
        <v>52</v>
      </c>
      <c r="T4" s="2" t="s">
        <v>53</v>
      </c>
      <c r="U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2"/>
      <c r="M5" s="2"/>
      <c r="N5" s="2"/>
      <c r="O5" s="2"/>
      <c r="P5" s="2"/>
      <c r="Q5" s="2"/>
      <c r="R5" s="2"/>
      <c r="S5" s="4"/>
      <c r="T5" s="2"/>
      <c r="U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2"/>
      <c r="M6" s="2"/>
      <c r="N6" s="2"/>
      <c r="O6" s="2"/>
      <c r="P6" s="2"/>
      <c r="Q6" s="2"/>
      <c r="R6" s="2"/>
      <c r="S6" s="4"/>
      <c r="T6" s="2"/>
      <c r="U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3"/>
      <c r="I7" s="3"/>
      <c r="J7" s="3"/>
      <c r="K7" s="3"/>
      <c r="L7" s="2"/>
      <c r="M7" s="2"/>
      <c r="N7" s="2"/>
      <c r="O7" s="2"/>
      <c r="P7" s="2"/>
      <c r="Q7" s="2"/>
      <c r="R7" s="2"/>
      <c r="S7" s="4"/>
      <c r="T7" s="2"/>
      <c r="U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2"/>
      <c r="M8" s="2"/>
      <c r="N8" s="2"/>
      <c r="O8" s="2"/>
      <c r="P8" s="2"/>
      <c r="Q8" s="2"/>
      <c r="R8" s="2"/>
      <c r="S8" s="4"/>
      <c r="T8" s="2"/>
      <c r="U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3"/>
      <c r="I9" s="3"/>
      <c r="J9" s="3"/>
      <c r="K9" s="3"/>
      <c r="L9" s="2"/>
      <c r="M9" s="2"/>
      <c r="N9" s="2"/>
      <c r="O9" s="2"/>
      <c r="P9" s="2"/>
      <c r="Q9" s="2"/>
      <c r="R9" s="2"/>
      <c r="S9" s="4"/>
      <c r="T9" s="2"/>
      <c r="U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2"/>
      <c r="M10" s="2"/>
      <c r="N10" s="2"/>
      <c r="O10" s="2"/>
      <c r="P10" s="2"/>
      <c r="Q10" s="2"/>
      <c r="R10" s="2"/>
      <c r="S10" s="4"/>
      <c r="T10" s="2"/>
      <c r="U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2"/>
      <c r="M11" s="2"/>
      <c r="N11" s="2"/>
      <c r="O11" s="2"/>
      <c r="P11" s="2"/>
      <c r="Q11" s="2"/>
      <c r="R11" s="2"/>
      <c r="S11" s="4"/>
      <c r="T11" s="2"/>
      <c r="U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4"/>
      <c r="T12" s="2"/>
      <c r="U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3"/>
      <c r="I13" s="3"/>
      <c r="J13" s="3"/>
      <c r="K13" s="3"/>
      <c r="L13" s="2"/>
      <c r="M13" s="2"/>
      <c r="N13" s="2"/>
      <c r="O13" s="2"/>
      <c r="P13" s="2"/>
      <c r="Q13" s="2"/>
      <c r="R13" s="2"/>
      <c r="S13" s="4"/>
      <c r="T13" s="2"/>
      <c r="U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3"/>
      <c r="I14" s="3"/>
      <c r="J14" s="3"/>
      <c r="K14" s="3"/>
      <c r="L14" s="2"/>
      <c r="M14" s="2"/>
      <c r="N14" s="2"/>
      <c r="O14" s="2"/>
      <c r="P14" s="2"/>
      <c r="Q14" s="2"/>
      <c r="R14" s="2"/>
      <c r="S14" s="4"/>
      <c r="T14" s="2"/>
      <c r="U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3"/>
      <c r="I15" s="3"/>
      <c r="J15" s="3"/>
      <c r="K15" s="3"/>
      <c r="L15" s="2"/>
      <c r="M15" s="2"/>
      <c r="N15" s="2"/>
      <c r="O15" s="2"/>
      <c r="P15" s="2"/>
      <c r="Q15" s="2"/>
      <c r="R15" s="2"/>
      <c r="S15" s="4"/>
      <c r="T15" s="2"/>
      <c r="U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3"/>
      <c r="I16" s="3"/>
      <c r="J16" s="3"/>
      <c r="K16" s="3"/>
      <c r="L16" s="2"/>
      <c r="M16" s="2"/>
      <c r="N16" s="2"/>
      <c r="O16" s="2"/>
      <c r="P16" s="2"/>
      <c r="Q16" s="2"/>
      <c r="R16" s="2"/>
      <c r="S16" s="4"/>
      <c r="T16" s="2"/>
      <c r="U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2"/>
      <c r="M17" s="2"/>
      <c r="N17" s="2"/>
      <c r="O17" s="2"/>
      <c r="P17" s="2"/>
      <c r="Q17" s="2"/>
      <c r="R17" s="2"/>
      <c r="S17" s="4"/>
      <c r="T17" s="2"/>
      <c r="U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2"/>
      <c r="M18" s="2"/>
      <c r="N18" s="2"/>
      <c r="O18" s="2"/>
      <c r="P18" s="2"/>
      <c r="Q18" s="2"/>
      <c r="R18" s="2"/>
      <c r="S18" s="4"/>
      <c r="T18" s="2"/>
      <c r="U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2"/>
      <c r="M19" s="2"/>
      <c r="N19" s="2"/>
      <c r="O19" s="2"/>
      <c r="P19" s="2"/>
      <c r="Q19" s="2"/>
      <c r="R19" s="2"/>
      <c r="S19" s="4"/>
      <c r="T19" s="2"/>
      <c r="U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2"/>
      <c r="M20" s="2"/>
      <c r="N20" s="2"/>
      <c r="O20" s="2"/>
      <c r="P20" s="2"/>
      <c r="Q20" s="2"/>
      <c r="R20" s="2"/>
      <c r="S20" s="4"/>
      <c r="T20" s="2"/>
      <c r="U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2"/>
      <c r="M21" s="2"/>
      <c r="N21" s="2"/>
      <c r="O21" s="2"/>
      <c r="P21" s="2"/>
      <c r="Q21" s="2"/>
      <c r="R21" s="2"/>
      <c r="S21" s="4"/>
      <c r="T21" s="2"/>
      <c r="U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2"/>
      <c r="M22" s="2"/>
      <c r="N22" s="2"/>
      <c r="O22" s="2"/>
      <c r="P22" s="2"/>
      <c r="Q22" s="2"/>
      <c r="R22" s="2"/>
      <c r="S22" s="4"/>
      <c r="T22" s="2"/>
      <c r="U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2"/>
      <c r="M23" s="2"/>
      <c r="N23" s="2"/>
      <c r="O23" s="2"/>
      <c r="P23" s="2"/>
      <c r="Q23" s="2"/>
      <c r="R23" s="2"/>
      <c r="S23" s="4"/>
      <c r="T23" s="2"/>
      <c r="U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3"/>
      <c r="I24" s="3"/>
      <c r="J24" s="3"/>
      <c r="K24" s="3"/>
      <c r="L24" s="2"/>
      <c r="M24" s="2"/>
      <c r="N24" s="2"/>
      <c r="O24" s="2"/>
      <c r="P24" s="2"/>
      <c r="Q24" s="2"/>
      <c r="R24" s="2"/>
      <c r="S24" s="4"/>
      <c r="T24" s="2"/>
      <c r="U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2"/>
      <c r="M25" s="2"/>
      <c r="N25" s="2"/>
      <c r="O25" s="2"/>
      <c r="P25" s="2"/>
      <c r="Q25" s="2"/>
      <c r="R25" s="2"/>
      <c r="S25" s="4"/>
      <c r="T25" s="2"/>
      <c r="U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3"/>
      <c r="I26" s="3"/>
      <c r="J26" s="3"/>
      <c r="K26" s="3"/>
      <c r="L26" s="2"/>
      <c r="M26" s="2"/>
      <c r="N26" s="2"/>
      <c r="O26" s="2"/>
      <c r="P26" s="2"/>
      <c r="Q26" s="2"/>
      <c r="R26" s="2"/>
      <c r="S26" s="4"/>
      <c r="T26" s="2"/>
      <c r="U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2"/>
      <c r="M27" s="2"/>
      <c r="N27" s="2"/>
      <c r="O27" s="2"/>
      <c r="P27" s="2"/>
      <c r="Q27" s="2"/>
      <c r="R27" s="2"/>
      <c r="S27" s="4"/>
      <c r="T27" s="2"/>
      <c r="U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2"/>
      <c r="M28" s="2"/>
      <c r="N28" s="2"/>
      <c r="O28" s="2"/>
      <c r="P28" s="2"/>
      <c r="Q28" s="2"/>
      <c r="R28" s="2"/>
      <c r="S28" s="4"/>
      <c r="T28" s="2"/>
      <c r="U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2"/>
      <c r="M29" s="2"/>
      <c r="N29" s="2"/>
      <c r="O29" s="2"/>
      <c r="P29" s="2"/>
      <c r="Q29" s="2"/>
      <c r="R29" s="2"/>
      <c r="S29" s="4"/>
      <c r="T29" s="2"/>
      <c r="U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2"/>
      <c r="M30" s="2"/>
      <c r="N30" s="2"/>
      <c r="O30" s="2"/>
      <c r="P30" s="2"/>
      <c r="Q30" s="2"/>
      <c r="R30" s="2"/>
      <c r="S30" s="4"/>
      <c r="T30" s="2"/>
      <c r="U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2"/>
      <c r="M31" s="2"/>
      <c r="N31" s="2"/>
      <c r="O31" s="2"/>
      <c r="P31" s="2"/>
      <c r="Q31" s="2"/>
      <c r="R31" s="2"/>
      <c r="S31" s="4"/>
      <c r="T31" s="2"/>
      <c r="U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2"/>
      <c r="M32" s="2"/>
      <c r="N32" s="2"/>
      <c r="O32" s="2"/>
      <c r="P32" s="2"/>
      <c r="Q32" s="2"/>
      <c r="R32" s="2"/>
      <c r="S32" s="4"/>
      <c r="T32" s="2"/>
      <c r="U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2"/>
      <c r="M33" s="2"/>
      <c r="N33" s="2"/>
      <c r="O33" s="2"/>
      <c r="P33" s="2"/>
      <c r="Q33" s="2"/>
      <c r="R33" s="2"/>
      <c r="S33" s="4"/>
      <c r="T33" s="2"/>
      <c r="U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2"/>
      <c r="M34" s="2"/>
      <c r="N34" s="2"/>
      <c r="O34" s="2"/>
      <c r="P34" s="2"/>
      <c r="Q34" s="2"/>
      <c r="R34" s="2"/>
      <c r="S34" s="4"/>
      <c r="T34" s="2"/>
      <c r="U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3"/>
      <c r="I35" s="3"/>
      <c r="J35" s="3"/>
      <c r="K35" s="3"/>
      <c r="L35" s="2"/>
      <c r="M35" s="2"/>
      <c r="N35" s="2"/>
      <c r="O35" s="2"/>
      <c r="P35" s="2"/>
      <c r="Q35" s="2"/>
      <c r="R35" s="2"/>
      <c r="S35" s="4"/>
      <c r="T35" s="2"/>
      <c r="U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3"/>
      <c r="I36" s="3"/>
      <c r="J36" s="3"/>
      <c r="K36" s="3"/>
      <c r="L36" s="2"/>
      <c r="M36" s="2"/>
      <c r="N36" s="2"/>
      <c r="O36" s="2"/>
      <c r="P36" s="2"/>
      <c r="Q36" s="2"/>
      <c r="R36" s="2"/>
      <c r="S36" s="4"/>
      <c r="T36" s="2"/>
      <c r="U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2"/>
      <c r="M37" s="2"/>
      <c r="N37" s="2"/>
      <c r="O37" s="2"/>
      <c r="P37" s="2"/>
      <c r="Q37" s="2"/>
      <c r="R37" s="2"/>
      <c r="S37" s="4"/>
      <c r="T37" s="2"/>
      <c r="U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2"/>
      <c r="M38" s="2"/>
      <c r="N38" s="2"/>
      <c r="O38" s="2"/>
      <c r="P38" s="2"/>
      <c r="Q38" s="2"/>
      <c r="R38" s="2"/>
      <c r="S38" s="4"/>
      <c r="T38" s="2"/>
      <c r="U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2"/>
      <c r="M39" s="2"/>
      <c r="N39" s="2"/>
      <c r="O39" s="2"/>
      <c r="P39" s="2"/>
      <c r="Q39" s="2"/>
      <c r="R39" s="2"/>
      <c r="S39" s="4"/>
      <c r="T39" s="2"/>
      <c r="U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2"/>
      <c r="M40" s="2"/>
      <c r="N40" s="2"/>
      <c r="O40" s="2"/>
      <c r="P40" s="2"/>
      <c r="Q40" s="2"/>
      <c r="R40" s="2"/>
      <c r="S40" s="4"/>
      <c r="T40" s="2"/>
      <c r="U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2"/>
      <c r="M41" s="2"/>
      <c r="N41" s="2"/>
      <c r="O41" s="2"/>
      <c r="P41" s="2"/>
      <c r="Q41" s="2"/>
      <c r="R41" s="2"/>
      <c r="S41" s="4"/>
      <c r="T41" s="2"/>
      <c r="U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3"/>
      <c r="I42" s="3"/>
      <c r="J42" s="3"/>
      <c r="K42" s="3"/>
      <c r="L42" s="2"/>
      <c r="M42" s="2"/>
      <c r="N42" s="2"/>
      <c r="O42" s="2"/>
      <c r="P42" s="2"/>
      <c r="Q42" s="2"/>
      <c r="R42" s="2"/>
      <c r="S42" s="4"/>
      <c r="T42" s="2"/>
      <c r="U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3"/>
      <c r="I43" s="3"/>
      <c r="J43" s="3"/>
      <c r="K43" s="3"/>
      <c r="L43" s="2"/>
      <c r="M43" s="2"/>
      <c r="N43" s="2"/>
      <c r="O43" s="2"/>
      <c r="P43" s="2"/>
      <c r="Q43" s="2"/>
      <c r="R43" s="2"/>
      <c r="S43" s="4"/>
      <c r="T43" s="2"/>
      <c r="U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2"/>
      <c r="M44" s="2"/>
      <c r="N44" s="2"/>
      <c r="O44" s="2"/>
      <c r="P44" s="2"/>
      <c r="Q44" s="2"/>
      <c r="R44" s="2"/>
      <c r="S44" s="4"/>
      <c r="T44" s="2"/>
      <c r="U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2"/>
      <c r="M45" s="2"/>
      <c r="N45" s="2"/>
      <c r="O45" s="2"/>
      <c r="P45" s="2"/>
      <c r="Q45" s="2"/>
      <c r="R45" s="2"/>
      <c r="S45" s="4"/>
      <c r="T45" s="2"/>
      <c r="U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2"/>
      <c r="M46" s="2"/>
      <c r="N46" s="2"/>
      <c r="O46" s="2"/>
      <c r="P46" s="2"/>
      <c r="Q46" s="2"/>
      <c r="R46" s="2"/>
      <c r="S46" s="4"/>
      <c r="T46" s="2"/>
      <c r="U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2"/>
      <c r="M47" s="2"/>
      <c r="N47" s="2"/>
      <c r="O47" s="2"/>
      <c r="P47" s="2"/>
      <c r="Q47" s="2"/>
      <c r="R47" s="2"/>
      <c r="S47" s="4"/>
      <c r="T47" s="2"/>
      <c r="U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2"/>
      <c r="M48" s="2"/>
      <c r="N48" s="2"/>
      <c r="O48" s="2"/>
      <c r="P48" s="2"/>
      <c r="Q48" s="2"/>
      <c r="R48" s="2"/>
      <c r="S48" s="4"/>
      <c r="T48" s="2"/>
      <c r="U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2"/>
      <c r="M49" s="2"/>
      <c r="N49" s="2"/>
      <c r="O49" s="2"/>
      <c r="P49" s="2"/>
      <c r="Q49" s="2"/>
      <c r="R49" s="2"/>
      <c r="S49" s="4"/>
      <c r="T49" s="2"/>
      <c r="U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2"/>
      <c r="M50" s="2"/>
      <c r="N50" s="2"/>
      <c r="O50" s="2"/>
      <c r="P50" s="2"/>
      <c r="Q50" s="2"/>
      <c r="R50" s="2"/>
      <c r="S50" s="4"/>
      <c r="T50" s="2"/>
      <c r="U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2"/>
      <c r="M51" s="2"/>
      <c r="N51" s="2"/>
      <c r="O51" s="2"/>
      <c r="P51" s="2"/>
      <c r="Q51" s="2"/>
      <c r="R51" s="2"/>
      <c r="S51" s="4"/>
      <c r="T51" s="2"/>
      <c r="U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2"/>
      <c r="M52" s="2"/>
      <c r="N52" s="2"/>
      <c r="O52" s="2"/>
      <c r="P52" s="2"/>
      <c r="Q52" s="2"/>
      <c r="R52" s="2"/>
      <c r="S52" s="4"/>
      <c r="T52" s="2"/>
      <c r="U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2"/>
      <c r="M53" s="2"/>
      <c r="N53" s="2"/>
      <c r="O53" s="2"/>
      <c r="P53" s="2"/>
      <c r="Q53" s="2"/>
      <c r="R53" s="2"/>
      <c r="S53" s="4"/>
      <c r="T53" s="2"/>
      <c r="U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3"/>
      <c r="I54" s="3"/>
      <c r="J54" s="3"/>
      <c r="K54" s="3"/>
      <c r="L54" s="2"/>
      <c r="M54" s="2"/>
      <c r="N54" s="2"/>
      <c r="O54" s="2"/>
      <c r="P54" s="2"/>
      <c r="Q54" s="2"/>
      <c r="R54" s="2"/>
      <c r="S54" s="4"/>
      <c r="T54" s="2"/>
      <c r="U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2"/>
      <c r="M55" s="2"/>
      <c r="N55" s="2"/>
      <c r="O55" s="2"/>
      <c r="P55" s="2"/>
      <c r="Q55" s="2"/>
      <c r="R55" s="2"/>
      <c r="S55" s="4"/>
      <c r="T55" s="2"/>
      <c r="U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2"/>
      <c r="M56" s="2"/>
      <c r="N56" s="2"/>
      <c r="O56" s="2"/>
      <c r="P56" s="2"/>
      <c r="Q56" s="2"/>
      <c r="R56" s="2"/>
      <c r="S56" s="4"/>
      <c r="T56" s="2"/>
      <c r="U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2"/>
      <c r="M57" s="2"/>
      <c r="N57" s="2"/>
      <c r="O57" s="2"/>
      <c r="P57" s="2"/>
      <c r="Q57" s="2"/>
      <c r="R57" s="2"/>
      <c r="S57" s="4"/>
      <c r="T57" s="2"/>
      <c r="U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  <c r="S58" s="4"/>
      <c r="T58" s="2"/>
      <c r="U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2"/>
      <c r="M59" s="2"/>
      <c r="N59" s="2"/>
      <c r="O59" s="2"/>
      <c r="P59" s="2"/>
      <c r="Q59" s="2"/>
      <c r="R59" s="2"/>
      <c r="S59" s="4"/>
      <c r="T59" s="2"/>
      <c r="U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  <c r="S60" s="4"/>
      <c r="T60" s="2"/>
      <c r="U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2"/>
      <c r="M61" s="2"/>
      <c r="N61" s="2"/>
      <c r="O61" s="2"/>
      <c r="P61" s="2"/>
      <c r="Q61" s="2"/>
      <c r="R61" s="2"/>
      <c r="S61" s="4"/>
      <c r="T61" s="2"/>
      <c r="U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2"/>
      <c r="M62" s="2"/>
      <c r="N62" s="2"/>
      <c r="O62" s="2"/>
      <c r="P62" s="2"/>
      <c r="Q62" s="2"/>
      <c r="R62" s="2"/>
      <c r="S62" s="4"/>
      <c r="T62" s="2"/>
      <c r="U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2"/>
      <c r="M63" s="2"/>
      <c r="N63" s="2"/>
      <c r="O63" s="2"/>
      <c r="P63" s="2"/>
      <c r="Q63" s="2"/>
      <c r="R63" s="2"/>
      <c r="S63" s="4"/>
      <c r="T63" s="2"/>
      <c r="U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2"/>
      <c r="M64" s="2"/>
      <c r="N64" s="2"/>
      <c r="O64" s="2"/>
      <c r="P64" s="2"/>
      <c r="Q64" s="2"/>
      <c r="R64" s="2"/>
      <c r="S64" s="4"/>
      <c r="T64" s="2"/>
      <c r="U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2"/>
      <c r="M65" s="2"/>
      <c r="N65" s="2"/>
      <c r="O65" s="2"/>
      <c r="P65" s="2"/>
      <c r="Q65" s="2"/>
      <c r="R65" s="2"/>
      <c r="S65" s="4"/>
      <c r="T65" s="2"/>
      <c r="U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2"/>
      <c r="M66" s="2"/>
      <c r="N66" s="2"/>
      <c r="O66" s="2"/>
      <c r="P66" s="2"/>
      <c r="Q66" s="2"/>
      <c r="R66" s="2"/>
      <c r="S66" s="4"/>
      <c r="T66" s="2"/>
      <c r="U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2"/>
      <c r="M67" s="2"/>
      <c r="N67" s="2"/>
      <c r="O67" s="2"/>
      <c r="P67" s="2"/>
      <c r="Q67" s="2"/>
      <c r="R67" s="2"/>
      <c r="S67" s="4"/>
      <c r="T67" s="2"/>
      <c r="U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2"/>
      <c r="M68" s="2"/>
      <c r="N68" s="2"/>
      <c r="O68" s="2"/>
      <c r="P68" s="2"/>
      <c r="Q68" s="2"/>
      <c r="R68" s="2"/>
      <c r="S68" s="4"/>
      <c r="T68" s="2"/>
      <c r="U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2"/>
      <c r="M69" s="2"/>
      <c r="N69" s="2"/>
      <c r="O69" s="2"/>
      <c r="P69" s="2"/>
      <c r="Q69" s="2"/>
      <c r="R69" s="2"/>
      <c r="S69" s="4"/>
      <c r="T69" s="2"/>
      <c r="U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  <c r="S70" s="4"/>
      <c r="T70" s="2"/>
      <c r="U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2"/>
      <c r="M71" s="2"/>
      <c r="N71" s="2"/>
      <c r="O71" s="2"/>
      <c r="P71" s="2"/>
      <c r="Q71" s="2"/>
      <c r="R71" s="2"/>
      <c r="S71" s="4"/>
      <c r="T71" s="2"/>
      <c r="U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2"/>
      <c r="M72" s="2"/>
      <c r="N72" s="2"/>
      <c r="O72" s="2"/>
      <c r="P72" s="2"/>
      <c r="Q72" s="2"/>
      <c r="R72" s="2"/>
      <c r="S72" s="4"/>
      <c r="T72" s="2"/>
      <c r="U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2"/>
      <c r="M73" s="2"/>
      <c r="N73" s="2"/>
      <c r="O73" s="2"/>
      <c r="P73" s="2"/>
      <c r="Q73" s="2"/>
      <c r="R73" s="2"/>
      <c r="S73" s="4"/>
      <c r="T73" s="2"/>
      <c r="U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2"/>
      <c r="M74" s="2"/>
      <c r="N74" s="2"/>
      <c r="O74" s="2"/>
      <c r="P74" s="2"/>
      <c r="Q74" s="2"/>
      <c r="R74" s="2"/>
      <c r="S74" s="4"/>
      <c r="T74" s="2"/>
      <c r="U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2"/>
      <c r="M75" s="2"/>
      <c r="N75" s="2"/>
      <c r="O75" s="2"/>
      <c r="P75" s="2"/>
      <c r="Q75" s="2"/>
      <c r="R75" s="2"/>
      <c r="S75" s="4"/>
      <c r="T75" s="2"/>
      <c r="U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2"/>
      <c r="M76" s="2"/>
      <c r="N76" s="2"/>
      <c r="O76" s="2"/>
      <c r="P76" s="2"/>
      <c r="Q76" s="2"/>
      <c r="R76" s="2"/>
      <c r="S76" s="4"/>
      <c r="T76" s="2"/>
      <c r="U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2"/>
      <c r="M77" s="2"/>
      <c r="N77" s="2"/>
      <c r="O77" s="2"/>
      <c r="P77" s="2"/>
      <c r="Q77" s="2"/>
      <c r="R77" s="2"/>
      <c r="S77" s="4"/>
      <c r="T77" s="2"/>
      <c r="U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2"/>
      <c r="M78" s="2"/>
      <c r="N78" s="2"/>
      <c r="O78" s="2"/>
      <c r="P78" s="2"/>
      <c r="Q78" s="2"/>
      <c r="R78" s="2"/>
      <c r="S78" s="4"/>
      <c r="T78" s="2"/>
      <c r="U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2"/>
      <c r="M79" s="2"/>
      <c r="N79" s="2"/>
      <c r="O79" s="2"/>
      <c r="P79" s="2"/>
      <c r="Q79" s="2"/>
      <c r="R79" s="2"/>
      <c r="S79" s="4"/>
      <c r="T79" s="2"/>
      <c r="U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2"/>
      <c r="M80" s="2"/>
      <c r="N80" s="2"/>
      <c r="O80" s="2"/>
      <c r="P80" s="2"/>
      <c r="Q80" s="2"/>
      <c r="R80" s="2"/>
      <c r="S80" s="4"/>
      <c r="T80" s="2"/>
      <c r="U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2"/>
      <c r="M81" s="2"/>
      <c r="N81" s="2"/>
      <c r="O81" s="2"/>
      <c r="P81" s="2"/>
      <c r="Q81" s="2"/>
      <c r="R81" s="2"/>
      <c r="S81" s="4"/>
      <c r="T81" s="2"/>
      <c r="U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2"/>
      <c r="M82" s="2"/>
      <c r="N82" s="2"/>
      <c r="O82" s="2"/>
      <c r="P82" s="2"/>
      <c r="Q82" s="2"/>
      <c r="R82" s="2"/>
      <c r="S82" s="4"/>
      <c r="T82" s="2"/>
      <c r="U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2"/>
      <c r="M83" s="2"/>
      <c r="N83" s="2"/>
      <c r="O83" s="2"/>
      <c r="P83" s="2"/>
      <c r="Q83" s="2"/>
      <c r="R83" s="2"/>
      <c r="S83" s="4"/>
      <c r="T83" s="2"/>
      <c r="U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2"/>
      <c r="M84" s="2"/>
      <c r="N84" s="2"/>
      <c r="O84" s="2"/>
      <c r="P84" s="2"/>
      <c r="Q84" s="2"/>
      <c r="R84" s="2"/>
      <c r="S84" s="4"/>
      <c r="T84" s="2"/>
      <c r="U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2"/>
      <c r="M85" s="2"/>
      <c r="N85" s="2"/>
      <c r="O85" s="2"/>
      <c r="P85" s="2"/>
      <c r="Q85" s="2"/>
      <c r="R85" s="2"/>
      <c r="S85" s="4"/>
      <c r="T85" s="2"/>
      <c r="U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2"/>
      <c r="M86" s="2"/>
      <c r="N86" s="2"/>
      <c r="O86" s="2"/>
      <c r="P86" s="2"/>
      <c r="Q86" s="2"/>
      <c r="R86" s="2"/>
      <c r="S86" s="4"/>
      <c r="T86" s="2"/>
      <c r="U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2"/>
      <c r="M87" s="2"/>
      <c r="N87" s="2"/>
      <c r="O87" s="2"/>
      <c r="P87" s="2"/>
      <c r="Q87" s="2"/>
      <c r="R87" s="2"/>
      <c r="S87" s="4"/>
      <c r="T87" s="2"/>
      <c r="U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2"/>
      <c r="M88" s="2"/>
      <c r="N88" s="2"/>
      <c r="O88" s="2"/>
      <c r="P88" s="2"/>
      <c r="Q88" s="2"/>
      <c r="R88" s="2"/>
      <c r="S88" s="4"/>
      <c r="T88" s="2"/>
      <c r="U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2"/>
      <c r="M89" s="2"/>
      <c r="N89" s="2"/>
      <c r="O89" s="2"/>
      <c r="P89" s="2"/>
      <c r="Q89" s="2"/>
      <c r="R89" s="2"/>
      <c r="S89" s="4"/>
      <c r="T89" s="2"/>
      <c r="U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2"/>
      <c r="M90" s="2"/>
      <c r="N90" s="2"/>
      <c r="O90" s="2"/>
      <c r="P90" s="2"/>
      <c r="Q90" s="2"/>
      <c r="R90" s="2"/>
      <c r="S90" s="4"/>
      <c r="T90" s="2"/>
      <c r="U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2"/>
      <c r="M91" s="2"/>
      <c r="N91" s="2"/>
      <c r="O91" s="2"/>
      <c r="P91" s="2"/>
      <c r="Q91" s="2"/>
      <c r="R91" s="2"/>
      <c r="S91" s="4"/>
      <c r="T91" s="2"/>
      <c r="U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2"/>
      <c r="M92" s="2"/>
      <c r="N92" s="2"/>
      <c r="O92" s="2"/>
      <c r="P92" s="2"/>
      <c r="Q92" s="2"/>
      <c r="R92" s="2"/>
      <c r="S92" s="4"/>
      <c r="T92" s="2"/>
      <c r="U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2"/>
      <c r="M93" s="2"/>
      <c r="N93" s="2"/>
      <c r="O93" s="2"/>
      <c r="P93" s="2"/>
      <c r="Q93" s="2"/>
      <c r="R93" s="2"/>
      <c r="S93" s="4"/>
      <c r="T93" s="2"/>
      <c r="U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2"/>
      <c r="M94" s="2"/>
      <c r="N94" s="2"/>
      <c r="O94" s="2"/>
      <c r="P94" s="2"/>
      <c r="Q94" s="2"/>
      <c r="R94" s="2"/>
      <c r="S94" s="4"/>
      <c r="T94" s="2"/>
      <c r="U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2"/>
      <c r="M95" s="2"/>
      <c r="N95" s="2"/>
      <c r="O95" s="2"/>
      <c r="P95" s="2"/>
      <c r="Q95" s="2"/>
      <c r="R95" s="2"/>
      <c r="S95" s="4"/>
      <c r="T95" s="2"/>
      <c r="U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2"/>
      <c r="M96" s="2"/>
      <c r="N96" s="2"/>
      <c r="O96" s="2"/>
      <c r="P96" s="2"/>
      <c r="Q96" s="2"/>
      <c r="R96" s="2"/>
      <c r="S96" s="4"/>
      <c r="T96" s="2"/>
      <c r="U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2"/>
      <c r="M97" s="2"/>
      <c r="N97" s="2"/>
      <c r="O97" s="2"/>
      <c r="P97" s="2"/>
      <c r="Q97" s="2"/>
      <c r="R97" s="2"/>
      <c r="S97" s="4"/>
      <c r="T97" s="2"/>
      <c r="U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2"/>
      <c r="M98" s="2"/>
      <c r="N98" s="2"/>
      <c r="O98" s="2"/>
      <c r="P98" s="2"/>
      <c r="Q98" s="2"/>
      <c r="R98" s="2"/>
      <c r="S98" s="4"/>
      <c r="T98" s="2"/>
      <c r="U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2"/>
      <c r="M99" s="2"/>
      <c r="N99" s="2"/>
      <c r="O99" s="2"/>
      <c r="P99" s="2"/>
      <c r="Q99" s="2"/>
      <c r="R99" s="2"/>
      <c r="S99" s="4"/>
      <c r="T99" s="2"/>
      <c r="U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2"/>
      <c r="M100" s="2"/>
      <c r="N100" s="2"/>
      <c r="O100" s="2"/>
      <c r="P100" s="2"/>
      <c r="Q100" s="2"/>
      <c r="R100" s="2"/>
      <c r="S100" s="4"/>
      <c r="T100" s="2"/>
      <c r="U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2"/>
      <c r="M101" s="2"/>
      <c r="N101" s="2"/>
      <c r="O101" s="2"/>
      <c r="P101" s="2"/>
      <c r="Q101" s="2"/>
      <c r="R101" s="2"/>
      <c r="S101" s="4"/>
      <c r="T101" s="2"/>
      <c r="U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2"/>
      <c r="M102" s="2"/>
      <c r="N102" s="2"/>
      <c r="O102" s="2"/>
      <c r="P102" s="2"/>
      <c r="Q102" s="2"/>
      <c r="R102" s="2"/>
      <c r="S102" s="4"/>
      <c r="T102" s="2"/>
      <c r="U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2"/>
      <c r="M103" s="2"/>
      <c r="N103" s="2"/>
      <c r="O103" s="2"/>
      <c r="P103" s="2"/>
      <c r="Q103" s="2"/>
      <c r="R103" s="2"/>
      <c r="S103" s="4"/>
      <c r="T103" s="2"/>
      <c r="U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2"/>
      <c r="M104" s="2"/>
      <c r="N104" s="2"/>
      <c r="O104" s="2"/>
      <c r="P104" s="2"/>
      <c r="Q104" s="2"/>
      <c r="R104" s="2"/>
      <c r="S104" s="4"/>
      <c r="T104" s="2"/>
      <c r="U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2"/>
      <c r="M105" s="2"/>
      <c r="N105" s="2"/>
      <c r="O105" s="2"/>
      <c r="P105" s="2"/>
      <c r="Q105" s="2"/>
      <c r="R105" s="2"/>
      <c r="S105" s="4"/>
      <c r="T105" s="2"/>
      <c r="U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2"/>
      <c r="M106" s="2"/>
      <c r="N106" s="2"/>
      <c r="O106" s="2"/>
      <c r="P106" s="2"/>
      <c r="Q106" s="2"/>
      <c r="R106" s="2"/>
      <c r="S106" s="4"/>
      <c r="T106" s="2"/>
      <c r="U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2"/>
      <c r="M107" s="2"/>
      <c r="N107" s="2"/>
      <c r="O107" s="2"/>
      <c r="P107" s="2"/>
      <c r="Q107" s="2"/>
      <c r="R107" s="2"/>
      <c r="S107" s="4"/>
      <c r="T107" s="2"/>
      <c r="U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2"/>
      <c r="M108" s="2"/>
      <c r="N108" s="2"/>
      <c r="O108" s="2"/>
      <c r="P108" s="2"/>
      <c r="Q108" s="2"/>
      <c r="R108" s="2"/>
      <c r="S108" s="4"/>
      <c r="T108" s="2"/>
      <c r="U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2"/>
      <c r="M109" s="2"/>
      <c r="N109" s="2"/>
      <c r="O109" s="2"/>
      <c r="P109" s="2"/>
      <c r="Q109" s="2"/>
      <c r="R109" s="2"/>
      <c r="S109" s="4"/>
      <c r="T109" s="2"/>
      <c r="U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2"/>
      <c r="M110" s="2"/>
      <c r="N110" s="2"/>
      <c r="O110" s="2"/>
      <c r="P110" s="2"/>
      <c r="Q110" s="2"/>
      <c r="R110" s="2"/>
      <c r="S110" s="4"/>
      <c r="T110" s="2"/>
      <c r="U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2"/>
      <c r="M111" s="2"/>
      <c r="N111" s="2"/>
      <c r="O111" s="2"/>
      <c r="P111" s="2"/>
      <c r="Q111" s="2"/>
      <c r="R111" s="2"/>
      <c r="S111" s="4"/>
      <c r="T111" s="2"/>
      <c r="U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2"/>
      <c r="M112" s="2"/>
      <c r="N112" s="2"/>
      <c r="O112" s="2"/>
      <c r="P112" s="2"/>
      <c r="Q112" s="2"/>
      <c r="R112" s="2"/>
      <c r="S112" s="4"/>
      <c r="T112" s="2"/>
      <c r="U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2"/>
      <c r="M113" s="2"/>
      <c r="N113" s="2"/>
      <c r="O113" s="2"/>
      <c r="P113" s="2"/>
      <c r="Q113" s="2"/>
      <c r="R113" s="2"/>
      <c r="S113" s="4"/>
      <c r="T113" s="2"/>
      <c r="U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2"/>
      <c r="M114" s="2"/>
      <c r="N114" s="2"/>
      <c r="O114" s="2"/>
      <c r="P114" s="2"/>
      <c r="Q114" s="2"/>
      <c r="R114" s="2"/>
      <c r="S114" s="4"/>
      <c r="T114" s="2"/>
      <c r="U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2"/>
      <c r="M115" s="2"/>
      <c r="N115" s="2"/>
      <c r="O115" s="2"/>
      <c r="P115" s="2"/>
      <c r="Q115" s="2"/>
      <c r="R115" s="2"/>
      <c r="S115" s="4"/>
      <c r="T115" s="2"/>
      <c r="U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2"/>
      <c r="M116" s="2"/>
      <c r="N116" s="2"/>
      <c r="O116" s="2"/>
      <c r="P116" s="2"/>
      <c r="Q116" s="2"/>
      <c r="R116" s="2"/>
      <c r="S116" s="4"/>
      <c r="T116" s="2"/>
      <c r="U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2"/>
      <c r="M117" s="2"/>
      <c r="N117" s="2"/>
      <c r="O117" s="2"/>
      <c r="P117" s="2"/>
      <c r="Q117" s="2"/>
      <c r="R117" s="2"/>
      <c r="S117" s="4"/>
      <c r="T117" s="2"/>
      <c r="U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2"/>
      <c r="M118" s="2"/>
      <c r="N118" s="2"/>
      <c r="O118" s="2"/>
      <c r="P118" s="2"/>
      <c r="Q118" s="2"/>
      <c r="R118" s="2"/>
      <c r="S118" s="4"/>
      <c r="T118" s="2"/>
      <c r="U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2"/>
      <c r="M119" s="2"/>
      <c r="N119" s="2"/>
      <c r="O119" s="2"/>
      <c r="P119" s="2"/>
      <c r="Q119" s="2"/>
      <c r="R119" s="2"/>
      <c r="S119" s="4"/>
      <c r="T119" s="2"/>
      <c r="U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2"/>
      <c r="M120" s="2"/>
      <c r="N120" s="2"/>
      <c r="O120" s="2"/>
      <c r="P120" s="2"/>
      <c r="Q120" s="2"/>
      <c r="R120" s="2"/>
      <c r="S120" s="4"/>
      <c r="T120" s="2"/>
      <c r="U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2"/>
      <c r="M121" s="2"/>
      <c r="N121" s="2"/>
      <c r="O121" s="2"/>
      <c r="P121" s="2"/>
      <c r="Q121" s="2"/>
      <c r="R121" s="2"/>
      <c r="S121" s="4"/>
      <c r="T121" s="2"/>
      <c r="U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2"/>
      <c r="M122" s="2"/>
      <c r="N122" s="2"/>
      <c r="O122" s="2"/>
      <c r="P122" s="2"/>
      <c r="Q122" s="2"/>
      <c r="R122" s="2"/>
      <c r="S122" s="4"/>
      <c r="T122" s="2"/>
      <c r="U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2"/>
      <c r="M123" s="2"/>
      <c r="N123" s="2"/>
      <c r="O123" s="2"/>
      <c r="P123" s="2"/>
      <c r="Q123" s="2"/>
      <c r="R123" s="2"/>
      <c r="S123" s="4"/>
      <c r="T123" s="2"/>
      <c r="U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2"/>
      <c r="M124" s="2"/>
      <c r="N124" s="2"/>
      <c r="O124" s="2"/>
      <c r="P124" s="2"/>
      <c r="Q124" s="2"/>
      <c r="R124" s="2"/>
      <c r="S124" s="4"/>
      <c r="T124" s="2"/>
      <c r="U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2"/>
      <c r="M125" s="2"/>
      <c r="N125" s="2"/>
      <c r="O125" s="2"/>
      <c r="P125" s="2"/>
      <c r="Q125" s="2"/>
      <c r="R125" s="2"/>
      <c r="S125" s="4"/>
      <c r="T125" s="2"/>
      <c r="U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2"/>
      <c r="M126" s="2"/>
      <c r="N126" s="2"/>
      <c r="O126" s="2"/>
      <c r="P126" s="2"/>
      <c r="Q126" s="2"/>
      <c r="R126" s="2"/>
      <c r="S126" s="4"/>
      <c r="T126" s="2"/>
      <c r="U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2"/>
      <c r="M127" s="2"/>
      <c r="N127" s="2"/>
      <c r="O127" s="2"/>
      <c r="P127" s="2"/>
      <c r="Q127" s="2"/>
      <c r="R127" s="2"/>
      <c r="S127" s="4"/>
      <c r="T127" s="2"/>
      <c r="U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2"/>
      <c r="M128" s="2"/>
      <c r="N128" s="2"/>
      <c r="O128" s="2"/>
      <c r="P128" s="2"/>
      <c r="Q128" s="2"/>
      <c r="R128" s="2"/>
      <c r="S128" s="4"/>
      <c r="T128" s="2"/>
      <c r="U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2"/>
      <c r="M129" s="2"/>
      <c r="N129" s="2"/>
      <c r="O129" s="2"/>
      <c r="P129" s="2"/>
      <c r="Q129" s="2"/>
      <c r="R129" s="2"/>
      <c r="S129" s="4"/>
      <c r="T129" s="2"/>
      <c r="U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2"/>
      <c r="M130" s="2"/>
      <c r="N130" s="2"/>
      <c r="O130" s="2"/>
      <c r="P130" s="2"/>
      <c r="Q130" s="2"/>
      <c r="R130" s="2"/>
      <c r="S130" s="4"/>
      <c r="T130" s="2"/>
      <c r="U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2"/>
      <c r="M131" s="2"/>
      <c r="N131" s="2"/>
      <c r="O131" s="2"/>
      <c r="P131" s="2"/>
      <c r="Q131" s="2"/>
      <c r="R131" s="2"/>
      <c r="S131" s="4"/>
      <c r="T131" s="2"/>
      <c r="U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2"/>
      <c r="M132" s="2"/>
      <c r="N132" s="2"/>
      <c r="O132" s="2"/>
      <c r="P132" s="2"/>
      <c r="Q132" s="2"/>
      <c r="R132" s="2"/>
      <c r="S132" s="4"/>
      <c r="T132" s="2"/>
      <c r="U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2"/>
      <c r="M133" s="2"/>
      <c r="N133" s="2"/>
      <c r="O133" s="2"/>
      <c r="P133" s="2"/>
      <c r="Q133" s="2"/>
      <c r="R133" s="2"/>
      <c r="S133" s="4"/>
      <c r="T133" s="2"/>
      <c r="U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2"/>
      <c r="M134" s="2"/>
      <c r="N134" s="2"/>
      <c r="O134" s="2"/>
      <c r="P134" s="2"/>
      <c r="Q134" s="2"/>
      <c r="R134" s="2"/>
      <c r="S134" s="4"/>
      <c r="T134" s="2"/>
      <c r="U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2"/>
      <c r="M135" s="2"/>
      <c r="N135" s="2"/>
      <c r="O135" s="2"/>
      <c r="P135" s="2"/>
      <c r="Q135" s="2"/>
      <c r="R135" s="2"/>
      <c r="S135" s="4"/>
      <c r="T135" s="2"/>
      <c r="U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2"/>
      <c r="M136" s="2"/>
      <c r="N136" s="2"/>
      <c r="O136" s="2"/>
      <c r="P136" s="2"/>
      <c r="Q136" s="2"/>
      <c r="R136" s="2"/>
      <c r="S136" s="4"/>
      <c r="T136" s="2"/>
      <c r="U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2"/>
      <c r="M137" s="2"/>
      <c r="N137" s="2"/>
      <c r="O137" s="2"/>
      <c r="P137" s="2"/>
      <c r="Q137" s="2"/>
      <c r="R137" s="2"/>
      <c r="S137" s="4"/>
      <c r="T137" s="2"/>
      <c r="U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2"/>
      <c r="M138" s="2"/>
      <c r="N138" s="2"/>
      <c r="O138" s="2"/>
      <c r="P138" s="2"/>
      <c r="Q138" s="2"/>
      <c r="R138" s="2"/>
      <c r="S138" s="4"/>
      <c r="T138" s="2"/>
      <c r="U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2"/>
      <c r="M139" s="2"/>
      <c r="N139" s="2"/>
      <c r="O139" s="2"/>
      <c r="P139" s="2"/>
      <c r="Q139" s="2"/>
      <c r="R139" s="2"/>
      <c r="S139" s="4"/>
      <c r="T139" s="2"/>
      <c r="U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2"/>
      <c r="M140" s="2"/>
      <c r="N140" s="2"/>
      <c r="O140" s="2"/>
      <c r="P140" s="2"/>
      <c r="Q140" s="2"/>
      <c r="R140" s="2"/>
      <c r="S140" s="4"/>
      <c r="T140" s="2"/>
      <c r="U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2"/>
      <c r="M141" s="2"/>
      <c r="N141" s="2"/>
      <c r="O141" s="2"/>
      <c r="P141" s="2"/>
      <c r="Q141" s="2"/>
      <c r="R141" s="2"/>
      <c r="S141" s="4"/>
      <c r="T141" s="2"/>
      <c r="U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2"/>
      <c r="M142" s="2"/>
      <c r="N142" s="2"/>
      <c r="O142" s="2"/>
      <c r="P142" s="2"/>
      <c r="Q142" s="2"/>
      <c r="R142" s="2"/>
      <c r="S142" s="4"/>
      <c r="T142" s="2"/>
      <c r="U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2"/>
      <c r="M143" s="2"/>
      <c r="N143" s="2"/>
      <c r="O143" s="2"/>
      <c r="P143" s="2"/>
      <c r="Q143" s="2"/>
      <c r="R143" s="2"/>
      <c r="S143" s="4"/>
      <c r="T143" s="2"/>
      <c r="U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2"/>
      <c r="M144" s="2"/>
      <c r="N144" s="2"/>
      <c r="O144" s="2"/>
      <c r="P144" s="2"/>
      <c r="Q144" s="2"/>
      <c r="R144" s="2"/>
      <c r="S144" s="4"/>
      <c r="T144" s="2"/>
      <c r="U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2"/>
      <c r="M145" s="2"/>
      <c r="N145" s="2"/>
      <c r="O145" s="2"/>
      <c r="P145" s="2"/>
      <c r="Q145" s="2"/>
      <c r="R145" s="2"/>
      <c r="S145" s="4"/>
      <c r="T145" s="2"/>
      <c r="U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2"/>
      <c r="M146" s="2"/>
      <c r="N146" s="2"/>
      <c r="O146" s="2"/>
      <c r="P146" s="2"/>
      <c r="Q146" s="2"/>
      <c r="R146" s="2"/>
      <c r="S146" s="4"/>
      <c r="T146" s="2"/>
      <c r="U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2"/>
      <c r="M147" s="2"/>
      <c r="N147" s="2"/>
      <c r="O147" s="2"/>
      <c r="P147" s="2"/>
      <c r="Q147" s="2"/>
      <c r="R147" s="2"/>
      <c r="S147" s="4"/>
      <c r="T147" s="2"/>
      <c r="U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2"/>
      <c r="M148" s="2"/>
      <c r="N148" s="2"/>
      <c r="O148" s="2"/>
      <c r="P148" s="2"/>
      <c r="Q148" s="2"/>
      <c r="R148" s="2"/>
      <c r="S148" s="4"/>
      <c r="T148" s="2"/>
      <c r="U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2"/>
      <c r="M149" s="2"/>
      <c r="N149" s="2"/>
      <c r="O149" s="2"/>
      <c r="P149" s="2"/>
      <c r="Q149" s="2"/>
      <c r="R149" s="2"/>
      <c r="S149" s="4"/>
      <c r="T149" s="2"/>
      <c r="U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2"/>
      <c r="M150" s="2"/>
      <c r="N150" s="2"/>
      <c r="O150" s="2"/>
      <c r="P150" s="2"/>
      <c r="Q150" s="2"/>
      <c r="R150" s="2"/>
      <c r="S150" s="4"/>
      <c r="T150" s="2"/>
      <c r="U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2"/>
      <c r="M151" s="2"/>
      <c r="N151" s="2"/>
      <c r="O151" s="2"/>
      <c r="P151" s="2"/>
      <c r="Q151" s="2"/>
      <c r="R151" s="2"/>
      <c r="S151" s="4"/>
      <c r="T151" s="2"/>
      <c r="U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2"/>
      <c r="M152" s="2"/>
      <c r="N152" s="2"/>
      <c r="O152" s="2"/>
      <c r="P152" s="2"/>
      <c r="Q152" s="2"/>
      <c r="R152" s="2"/>
      <c r="S152" s="4"/>
      <c r="T152" s="2"/>
      <c r="U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2"/>
      <c r="M153" s="2"/>
      <c r="N153" s="2"/>
      <c r="O153" s="2"/>
      <c r="P153" s="2"/>
      <c r="Q153" s="2"/>
      <c r="R153" s="2"/>
      <c r="S153" s="4"/>
      <c r="T153" s="2"/>
      <c r="U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2"/>
      <c r="M154" s="2"/>
      <c r="N154" s="2"/>
      <c r="O154" s="2"/>
      <c r="P154" s="2"/>
      <c r="Q154" s="2"/>
      <c r="R154" s="2"/>
      <c r="S154" s="4"/>
      <c r="T154" s="2"/>
      <c r="U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2"/>
      <c r="M155" s="2"/>
      <c r="N155" s="2"/>
      <c r="O155" s="2"/>
      <c r="P155" s="2"/>
      <c r="Q155" s="2"/>
      <c r="R155" s="2"/>
      <c r="S155" s="4"/>
      <c r="T155" s="2"/>
      <c r="U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2"/>
      <c r="M156" s="2"/>
      <c r="N156" s="2"/>
      <c r="O156" s="2"/>
      <c r="P156" s="2"/>
      <c r="Q156" s="2"/>
      <c r="R156" s="2"/>
      <c r="S156" s="4"/>
      <c r="T156" s="2"/>
      <c r="U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2"/>
      <c r="M157" s="2"/>
      <c r="N157" s="2"/>
      <c r="O157" s="2"/>
      <c r="P157" s="2"/>
      <c r="Q157" s="2"/>
      <c r="R157" s="2"/>
      <c r="S157" s="4"/>
      <c r="T157" s="2"/>
      <c r="U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2"/>
      <c r="M158" s="2"/>
      <c r="N158" s="2"/>
      <c r="O158" s="2"/>
      <c r="P158" s="2"/>
      <c r="Q158" s="2"/>
      <c r="R158" s="2"/>
      <c r="S158" s="4"/>
      <c r="T158" s="2"/>
      <c r="U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2"/>
      <c r="M159" s="2"/>
      <c r="N159" s="2"/>
      <c r="O159" s="2"/>
      <c r="P159" s="2"/>
      <c r="Q159" s="2"/>
      <c r="R159" s="2"/>
      <c r="S159" s="4"/>
      <c r="T159" s="2"/>
      <c r="U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2"/>
      <c r="M160" s="2"/>
      <c r="N160" s="2"/>
      <c r="O160" s="2"/>
      <c r="P160" s="2"/>
      <c r="Q160" s="2"/>
      <c r="R160" s="2"/>
      <c r="S160" s="4"/>
      <c r="T160" s="2"/>
      <c r="U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2"/>
      <c r="M161" s="2"/>
      <c r="N161" s="2"/>
      <c r="O161" s="2"/>
      <c r="P161" s="2"/>
      <c r="Q161" s="2"/>
      <c r="R161" s="2"/>
      <c r="S161" s="4"/>
      <c r="T161" s="2"/>
      <c r="U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2"/>
      <c r="M162" s="2"/>
      <c r="N162" s="2"/>
      <c r="O162" s="2"/>
      <c r="P162" s="2"/>
      <c r="Q162" s="2"/>
      <c r="R162" s="2"/>
      <c r="S162" s="4"/>
      <c r="T162" s="2"/>
      <c r="U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2"/>
      <c r="M163" s="2"/>
      <c r="N163" s="2"/>
      <c r="O163" s="2"/>
      <c r="P163" s="2"/>
      <c r="Q163" s="2"/>
      <c r="R163" s="2"/>
      <c r="S163" s="4"/>
      <c r="T163" s="2"/>
      <c r="U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2"/>
      <c r="M164" s="2"/>
      <c r="N164" s="2"/>
      <c r="O164" s="2"/>
      <c r="P164" s="2"/>
      <c r="Q164" s="2"/>
      <c r="R164" s="2"/>
      <c r="S164" s="4"/>
      <c r="T164" s="2"/>
      <c r="U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2"/>
      <c r="M165" s="2"/>
      <c r="N165" s="2"/>
      <c r="O165" s="2"/>
      <c r="P165" s="2"/>
      <c r="Q165" s="2"/>
      <c r="R165" s="2"/>
      <c r="S165" s="4"/>
      <c r="T165" s="2"/>
      <c r="U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2"/>
      <c r="M166" s="2"/>
      <c r="N166" s="2"/>
      <c r="O166" s="2"/>
      <c r="P166" s="2"/>
      <c r="Q166" s="2"/>
      <c r="R166" s="2"/>
      <c r="S166" s="4"/>
      <c r="T166" s="2"/>
      <c r="U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2"/>
      <c r="M167" s="2"/>
      <c r="N167" s="2"/>
      <c r="O167" s="2"/>
      <c r="P167" s="2"/>
      <c r="Q167" s="2"/>
      <c r="R167" s="2"/>
      <c r="S167" s="4"/>
      <c r="T167" s="2"/>
      <c r="U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2"/>
      <c r="M168" s="2"/>
      <c r="N168" s="2"/>
      <c r="O168" s="2"/>
      <c r="P168" s="2"/>
      <c r="Q168" s="2"/>
      <c r="R168" s="2"/>
      <c r="S168" s="4"/>
      <c r="T168" s="2"/>
      <c r="U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2"/>
      <c r="M169" s="2"/>
      <c r="N169" s="2"/>
      <c r="O169" s="2"/>
      <c r="P169" s="2"/>
      <c r="Q169" s="2"/>
      <c r="R169" s="2"/>
      <c r="S169" s="4"/>
      <c r="T169" s="2"/>
      <c r="U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2"/>
      <c r="M170" s="2"/>
      <c r="N170" s="2"/>
      <c r="O170" s="2"/>
      <c r="P170" s="2"/>
      <c r="Q170" s="2"/>
      <c r="R170" s="2"/>
      <c r="S170" s="4"/>
      <c r="T170" s="2"/>
      <c r="U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2"/>
      <c r="M171" s="2"/>
      <c r="N171" s="2"/>
      <c r="O171" s="2"/>
      <c r="P171" s="2"/>
      <c r="Q171" s="2"/>
      <c r="R171" s="2"/>
      <c r="S171" s="4"/>
      <c r="T171" s="2"/>
      <c r="U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2"/>
      <c r="M172" s="2"/>
      <c r="N172" s="2"/>
      <c r="O172" s="2"/>
      <c r="P172" s="2"/>
      <c r="Q172" s="2"/>
      <c r="R172" s="2"/>
      <c r="S172" s="4"/>
      <c r="T172" s="2"/>
      <c r="U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2"/>
      <c r="M173" s="2"/>
      <c r="N173" s="2"/>
      <c r="O173" s="2"/>
      <c r="P173" s="2"/>
      <c r="Q173" s="2"/>
      <c r="R173" s="2"/>
      <c r="S173" s="4"/>
      <c r="T173" s="2"/>
      <c r="U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2"/>
      <c r="M174" s="2"/>
      <c r="N174" s="2"/>
      <c r="O174" s="2"/>
      <c r="P174" s="2"/>
      <c r="Q174" s="2"/>
      <c r="R174" s="2"/>
      <c r="S174" s="4"/>
      <c r="T174" s="2"/>
      <c r="U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2"/>
      <c r="M175" s="2"/>
      <c r="N175" s="2"/>
      <c r="O175" s="2"/>
      <c r="P175" s="2"/>
      <c r="Q175" s="2"/>
      <c r="R175" s="2"/>
      <c r="S175" s="4"/>
      <c r="T175" s="2"/>
      <c r="U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2"/>
      <c r="M176" s="2"/>
      <c r="N176" s="2"/>
      <c r="O176" s="2"/>
      <c r="P176" s="2"/>
      <c r="Q176" s="2"/>
      <c r="R176" s="2"/>
      <c r="S176" s="4"/>
      <c r="T176" s="2"/>
      <c r="U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2"/>
      <c r="M177" s="2"/>
      <c r="N177" s="2"/>
      <c r="O177" s="2"/>
      <c r="P177" s="2"/>
      <c r="Q177" s="2"/>
      <c r="R177" s="2"/>
      <c r="S177" s="4"/>
      <c r="T177" s="2"/>
      <c r="U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2"/>
      <c r="M178" s="2"/>
      <c r="N178" s="2"/>
      <c r="O178" s="2"/>
      <c r="P178" s="2"/>
      <c r="Q178" s="2"/>
      <c r="R178" s="2"/>
      <c r="S178" s="4"/>
      <c r="T178" s="2"/>
      <c r="U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2"/>
      <c r="M179" s="2"/>
      <c r="N179" s="2"/>
      <c r="O179" s="2"/>
      <c r="P179" s="2"/>
      <c r="Q179" s="2"/>
      <c r="R179" s="2"/>
      <c r="S179" s="4"/>
      <c r="T179" s="2"/>
      <c r="U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2"/>
      <c r="M180" s="2"/>
      <c r="N180" s="2"/>
      <c r="O180" s="2"/>
      <c r="P180" s="2"/>
      <c r="Q180" s="2"/>
      <c r="R180" s="2"/>
      <c r="S180" s="4"/>
      <c r="T180" s="2"/>
      <c r="U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2"/>
      <c r="M181" s="2"/>
      <c r="N181" s="2"/>
      <c r="O181" s="2"/>
      <c r="P181" s="2"/>
      <c r="Q181" s="2"/>
      <c r="R181" s="2"/>
      <c r="S181" s="4"/>
      <c r="T181" s="2"/>
      <c r="U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2"/>
      <c r="M182" s="2"/>
      <c r="N182" s="2"/>
      <c r="O182" s="2"/>
      <c r="P182" s="2"/>
      <c r="Q182" s="2"/>
      <c r="R182" s="2"/>
      <c r="S182" s="4"/>
      <c r="T182" s="2"/>
      <c r="U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2"/>
      <c r="M183" s="2"/>
      <c r="N183" s="2"/>
      <c r="O183" s="2"/>
      <c r="P183" s="2"/>
      <c r="Q183" s="2"/>
      <c r="R183" s="2"/>
      <c r="S183" s="4"/>
      <c r="T183" s="2"/>
      <c r="U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2"/>
      <c r="M184" s="2"/>
      <c r="N184" s="2"/>
      <c r="O184" s="2"/>
      <c r="P184" s="2"/>
      <c r="Q184" s="2"/>
      <c r="R184" s="2"/>
      <c r="S184" s="4"/>
      <c r="T184" s="2"/>
      <c r="U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2"/>
      <c r="M185" s="2"/>
      <c r="N185" s="2"/>
      <c r="O185" s="2"/>
      <c r="P185" s="2"/>
      <c r="Q185" s="2"/>
      <c r="R185" s="2"/>
      <c r="S185" s="4"/>
      <c r="T185" s="2"/>
      <c r="U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2"/>
      <c r="M186" s="2"/>
      <c r="N186" s="2"/>
      <c r="O186" s="2"/>
      <c r="P186" s="2"/>
      <c r="Q186" s="2"/>
      <c r="R186" s="2"/>
      <c r="S186" s="4"/>
      <c r="T186" s="2"/>
      <c r="U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2"/>
      <c r="M187" s="2"/>
      <c r="N187" s="2"/>
      <c r="O187" s="2"/>
      <c r="P187" s="2"/>
      <c r="Q187" s="2"/>
      <c r="R187" s="2"/>
      <c r="S187" s="4"/>
      <c r="T187" s="2"/>
      <c r="U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2"/>
      <c r="M188" s="2"/>
      <c r="N188" s="2"/>
      <c r="O188" s="2"/>
      <c r="P188" s="2"/>
      <c r="Q188" s="2"/>
      <c r="R188" s="2"/>
      <c r="S188" s="4"/>
      <c r="T188" s="2"/>
      <c r="U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2"/>
      <c r="M189" s="2"/>
      <c r="N189" s="2"/>
      <c r="O189" s="2"/>
      <c r="P189" s="2"/>
      <c r="Q189" s="2"/>
      <c r="R189" s="2"/>
      <c r="S189" s="4"/>
      <c r="T189" s="2"/>
      <c r="U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2"/>
      <c r="M190" s="2"/>
      <c r="N190" s="2"/>
      <c r="O190" s="2"/>
      <c r="P190" s="2"/>
      <c r="Q190" s="2"/>
      <c r="R190" s="2"/>
      <c r="S190" s="4"/>
      <c r="T190" s="2"/>
      <c r="U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2"/>
      <c r="M191" s="2"/>
      <c r="N191" s="2"/>
      <c r="O191" s="2"/>
      <c r="P191" s="2"/>
      <c r="Q191" s="2"/>
      <c r="R191" s="2"/>
      <c r="S191" s="4"/>
      <c r="T191" s="2"/>
      <c r="U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2"/>
      <c r="M192" s="2"/>
      <c r="N192" s="2"/>
      <c r="O192" s="2"/>
      <c r="P192" s="2"/>
      <c r="Q192" s="2"/>
      <c r="R192" s="2"/>
      <c r="S192" s="4"/>
      <c r="T192" s="2"/>
      <c r="U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2"/>
      <c r="M193" s="2"/>
      <c r="N193" s="2"/>
      <c r="O193" s="2"/>
      <c r="P193" s="2"/>
      <c r="Q193" s="2"/>
      <c r="R193" s="2"/>
      <c r="S193" s="4"/>
      <c r="T193" s="2"/>
      <c r="U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2"/>
      <c r="M194" s="2"/>
      <c r="N194" s="2"/>
      <c r="O194" s="2"/>
      <c r="P194" s="2"/>
      <c r="Q194" s="2"/>
      <c r="R194" s="2"/>
      <c r="S194" s="4"/>
      <c r="T194" s="2"/>
      <c r="U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2"/>
      <c r="M195" s="2"/>
      <c r="N195" s="2"/>
      <c r="O195" s="2"/>
      <c r="P195" s="2"/>
      <c r="Q195" s="2"/>
      <c r="R195" s="2"/>
      <c r="S195" s="4"/>
      <c r="T195" s="2"/>
      <c r="U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2"/>
      <c r="M196" s="2"/>
      <c r="N196" s="2"/>
      <c r="O196" s="2"/>
      <c r="P196" s="2"/>
      <c r="Q196" s="2"/>
      <c r="R196" s="2"/>
      <c r="S196" s="4"/>
      <c r="T196" s="2"/>
      <c r="U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2"/>
      <c r="M197" s="2"/>
      <c r="N197" s="2"/>
      <c r="O197" s="2"/>
      <c r="P197" s="2"/>
      <c r="Q197" s="2"/>
      <c r="R197" s="2"/>
      <c r="S197" s="4"/>
      <c r="T197" s="2"/>
      <c r="U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2"/>
      <c r="M198" s="2"/>
      <c r="N198" s="2"/>
      <c r="O198" s="2"/>
      <c r="P198" s="2"/>
      <c r="Q198" s="2"/>
      <c r="R198" s="2"/>
      <c r="S198" s="4"/>
      <c r="T198" s="2"/>
      <c r="U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2"/>
      <c r="M199" s="2"/>
      <c r="N199" s="2"/>
      <c r="O199" s="2"/>
      <c r="P199" s="2"/>
      <c r="Q199" s="2"/>
      <c r="R199" s="2"/>
      <c r="S199" s="4"/>
      <c r="T199" s="2"/>
      <c r="U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2"/>
      <c r="M200" s="2"/>
      <c r="N200" s="2"/>
      <c r="O200" s="2"/>
      <c r="P200" s="2"/>
      <c r="Q200" s="2"/>
      <c r="R200" s="2"/>
      <c r="S200" s="4"/>
      <c r="T200" s="2"/>
      <c r="U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2"/>
      <c r="M201" s="2"/>
      <c r="N201" s="2"/>
      <c r="O201" s="2"/>
      <c r="P201" s="2"/>
      <c r="Q201" s="2"/>
      <c r="R201" s="2"/>
      <c r="S201" s="4"/>
      <c r="T201" s="2"/>
      <c r="U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2"/>
      <c r="M202" s="2"/>
      <c r="N202" s="2"/>
      <c r="O202" s="2"/>
      <c r="P202" s="2"/>
      <c r="Q202" s="2"/>
      <c r="R202" s="2"/>
      <c r="S202" s="4"/>
      <c r="T202" s="2"/>
      <c r="U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2"/>
      <c r="M203" s="2"/>
      <c r="N203" s="2"/>
      <c r="O203" s="2"/>
      <c r="P203" s="2"/>
      <c r="Q203" s="2"/>
      <c r="R203" s="2"/>
      <c r="S203" s="4"/>
      <c r="T203" s="2"/>
      <c r="U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2"/>
      <c r="M204" s="2"/>
      <c r="N204" s="2"/>
      <c r="O204" s="2"/>
      <c r="P204" s="2"/>
      <c r="Q204" s="2"/>
      <c r="R204" s="2"/>
      <c r="S204" s="4"/>
      <c r="T204" s="2"/>
      <c r="U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2"/>
      <c r="M205" s="2"/>
      <c r="N205" s="2"/>
      <c r="O205" s="2"/>
      <c r="P205" s="2"/>
      <c r="Q205" s="2"/>
      <c r="R205" s="2"/>
      <c r="S205" s="4"/>
      <c r="T205" s="2"/>
      <c r="U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2"/>
      <c r="M206" s="2"/>
      <c r="N206" s="2"/>
      <c r="O206" s="2"/>
      <c r="P206" s="2"/>
      <c r="Q206" s="2"/>
      <c r="R206" s="2"/>
      <c r="S206" s="4"/>
      <c r="T206" s="2"/>
      <c r="U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2"/>
      <c r="M207" s="2"/>
      <c r="N207" s="2"/>
      <c r="O207" s="2"/>
      <c r="P207" s="2"/>
      <c r="Q207" s="2"/>
      <c r="R207" s="2"/>
      <c r="S207" s="4"/>
      <c r="T207" s="2"/>
      <c r="U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2"/>
      <c r="M208" s="2"/>
      <c r="N208" s="2"/>
      <c r="O208" s="2"/>
      <c r="P208" s="2"/>
      <c r="Q208" s="2"/>
      <c r="R208" s="2"/>
      <c r="S208" s="4"/>
      <c r="T208" s="2"/>
      <c r="U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2"/>
      <c r="M209" s="2"/>
      <c r="N209" s="2"/>
      <c r="O209" s="2"/>
      <c r="P209" s="2"/>
      <c r="Q209" s="2"/>
      <c r="R209" s="2"/>
      <c r="S209" s="4"/>
      <c r="T209" s="2"/>
      <c r="U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2"/>
      <c r="M210" s="2"/>
      <c r="N210" s="2"/>
      <c r="O210" s="2"/>
      <c r="P210" s="2"/>
      <c r="Q210" s="2"/>
      <c r="R210" s="2"/>
      <c r="S210" s="4"/>
      <c r="T210" s="2"/>
      <c r="U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2"/>
      <c r="M211" s="2"/>
      <c r="N211" s="2"/>
      <c r="O211" s="2"/>
      <c r="P211" s="2"/>
      <c r="Q211" s="2"/>
      <c r="R211" s="2"/>
      <c r="S211" s="4"/>
      <c r="T211" s="2"/>
      <c r="U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2"/>
      <c r="M212" s="2"/>
      <c r="N212" s="2"/>
      <c r="O212" s="2"/>
      <c r="P212" s="2"/>
      <c r="Q212" s="2"/>
      <c r="R212" s="2"/>
      <c r="S212" s="4"/>
      <c r="T212" s="2"/>
      <c r="U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2"/>
      <c r="M213" s="2"/>
      <c r="N213" s="2"/>
      <c r="O213" s="2"/>
      <c r="P213" s="2"/>
      <c r="Q213" s="2"/>
      <c r="R213" s="2"/>
      <c r="S213" s="4"/>
      <c r="T213" s="2"/>
      <c r="U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2"/>
      <c r="M214" s="2"/>
      <c r="N214" s="2"/>
      <c r="O214" s="2"/>
      <c r="P214" s="2"/>
      <c r="Q214" s="2"/>
      <c r="R214" s="2"/>
      <c r="S214" s="4"/>
      <c r="T214" s="2"/>
      <c r="U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2"/>
      <c r="M215" s="2"/>
      <c r="N215" s="2"/>
      <c r="O215" s="2"/>
      <c r="P215" s="2"/>
      <c r="Q215" s="2"/>
      <c r="R215" s="2"/>
      <c r="S215" s="4"/>
      <c r="T215" s="2"/>
      <c r="U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2"/>
      <c r="M216" s="2"/>
      <c r="N216" s="2"/>
      <c r="O216" s="2"/>
      <c r="P216" s="2"/>
      <c r="Q216" s="2"/>
      <c r="R216" s="2"/>
      <c r="S216" s="4"/>
      <c r="T216" s="2"/>
      <c r="U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2"/>
      <c r="M217" s="2"/>
      <c r="N217" s="2"/>
      <c r="O217" s="2"/>
      <c r="P217" s="2"/>
      <c r="Q217" s="2"/>
      <c r="R217" s="2"/>
      <c r="S217" s="4"/>
      <c r="T217" s="2"/>
      <c r="U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2"/>
      <c r="M218" s="2"/>
      <c r="N218" s="2"/>
      <c r="O218" s="2"/>
      <c r="P218" s="2"/>
      <c r="Q218" s="2"/>
      <c r="R218" s="2"/>
      <c r="S218" s="4"/>
      <c r="T218" s="2"/>
      <c r="U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2"/>
      <c r="M219" s="2"/>
      <c r="N219" s="2"/>
      <c r="O219" s="2"/>
      <c r="P219" s="2"/>
      <c r="Q219" s="2"/>
      <c r="R219" s="2"/>
      <c r="S219" s="4"/>
      <c r="T219" s="2"/>
      <c r="U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2"/>
      <c r="M220" s="2"/>
      <c r="N220" s="2"/>
      <c r="O220" s="2"/>
      <c r="P220" s="2"/>
      <c r="Q220" s="2"/>
      <c r="R220" s="2"/>
      <c r="S220" s="4"/>
      <c r="T220" s="2"/>
      <c r="U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2"/>
      <c r="M221" s="2"/>
      <c r="N221" s="2"/>
      <c r="O221" s="2"/>
      <c r="P221" s="2"/>
      <c r="Q221" s="2"/>
      <c r="R221" s="2"/>
      <c r="S221" s="4"/>
      <c r="T221" s="2"/>
      <c r="U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2"/>
      <c r="M222" s="2"/>
      <c r="N222" s="2"/>
      <c r="O222" s="2"/>
      <c r="P222" s="2"/>
      <c r="Q222" s="2"/>
      <c r="R222" s="2"/>
      <c r="S222" s="4"/>
      <c r="T222" s="2"/>
      <c r="U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2"/>
      <c r="M223" s="2"/>
      <c r="N223" s="2"/>
      <c r="O223" s="2"/>
      <c r="P223" s="2"/>
      <c r="Q223" s="2"/>
      <c r="R223" s="2"/>
      <c r="S223" s="4"/>
      <c r="T223" s="2"/>
      <c r="U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2"/>
      <c r="M224" s="2"/>
      <c r="N224" s="2"/>
      <c r="O224" s="2"/>
      <c r="P224" s="2"/>
      <c r="Q224" s="2"/>
      <c r="R224" s="2"/>
      <c r="S224" s="4"/>
      <c r="T224" s="2"/>
      <c r="U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2"/>
      <c r="M225" s="2"/>
      <c r="N225" s="2"/>
      <c r="O225" s="2"/>
      <c r="P225" s="2"/>
      <c r="Q225" s="2"/>
      <c r="R225" s="2"/>
      <c r="S225" s="4"/>
      <c r="T225" s="2"/>
      <c r="U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2"/>
      <c r="M226" s="2"/>
      <c r="N226" s="2"/>
      <c r="O226" s="2"/>
      <c r="P226" s="2"/>
      <c r="Q226" s="2"/>
      <c r="R226" s="2"/>
      <c r="S226" s="4"/>
      <c r="T226" s="2"/>
      <c r="U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2"/>
      <c r="M227" s="2"/>
      <c r="N227" s="2"/>
      <c r="O227" s="2"/>
      <c r="P227" s="2"/>
      <c r="Q227" s="2"/>
      <c r="R227" s="2"/>
      <c r="S227" s="4"/>
      <c r="T227" s="2"/>
      <c r="U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2"/>
      <c r="M228" s="2"/>
      <c r="N228" s="2"/>
      <c r="O228" s="2"/>
      <c r="P228" s="2"/>
      <c r="Q228" s="2"/>
      <c r="R228" s="2"/>
      <c r="S228" s="4"/>
      <c r="T228" s="2"/>
      <c r="U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2"/>
      <c r="M229" s="2"/>
      <c r="N229" s="2"/>
      <c r="O229" s="2"/>
      <c r="P229" s="2"/>
      <c r="Q229" s="2"/>
      <c r="R229" s="2"/>
      <c r="S229" s="4"/>
      <c r="T229" s="2"/>
      <c r="U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2"/>
      <c r="M230" s="2"/>
      <c r="N230" s="2"/>
      <c r="O230" s="2"/>
      <c r="P230" s="2"/>
      <c r="Q230" s="2"/>
      <c r="R230" s="2"/>
      <c r="S230" s="4"/>
      <c r="T230" s="2"/>
      <c r="U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2"/>
      <c r="M231" s="2"/>
      <c r="N231" s="2"/>
      <c r="O231" s="2"/>
      <c r="P231" s="2"/>
      <c r="Q231" s="2"/>
      <c r="R231" s="2"/>
      <c r="S231" s="4"/>
      <c r="T231" s="2"/>
      <c r="U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2"/>
      <c r="M232" s="2"/>
      <c r="N232" s="2"/>
      <c r="O232" s="2"/>
      <c r="P232" s="2"/>
      <c r="Q232" s="2"/>
      <c r="R232" s="2"/>
      <c r="S232" s="4"/>
      <c r="T232" s="2"/>
      <c r="U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2"/>
      <c r="M233" s="2"/>
      <c r="N233" s="2"/>
      <c r="O233" s="2"/>
      <c r="P233" s="2"/>
      <c r="Q233" s="2"/>
      <c r="R233" s="2"/>
      <c r="S233" s="4"/>
      <c r="T233" s="2"/>
      <c r="U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2"/>
      <c r="M234" s="2"/>
      <c r="N234" s="2"/>
      <c r="O234" s="2"/>
      <c r="P234" s="2"/>
      <c r="Q234" s="2"/>
      <c r="R234" s="2"/>
      <c r="S234" s="4"/>
      <c r="T234" s="2"/>
      <c r="U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2"/>
      <c r="M235" s="2"/>
      <c r="N235" s="2"/>
      <c r="O235" s="2"/>
      <c r="P235" s="2"/>
      <c r="Q235" s="2"/>
      <c r="R235" s="2"/>
      <c r="S235" s="4"/>
      <c r="T235" s="2"/>
      <c r="U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2"/>
      <c r="M236" s="2"/>
      <c r="N236" s="2"/>
      <c r="O236" s="2"/>
      <c r="P236" s="2"/>
      <c r="Q236" s="2"/>
      <c r="R236" s="2"/>
      <c r="S236" s="4"/>
      <c r="T236" s="2"/>
      <c r="U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2"/>
      <c r="M237" s="2"/>
      <c r="N237" s="2"/>
      <c r="O237" s="2"/>
      <c r="P237" s="2"/>
      <c r="Q237" s="2"/>
      <c r="R237" s="2"/>
      <c r="S237" s="4"/>
      <c r="T237" s="2"/>
      <c r="U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2"/>
      <c r="M238" s="2"/>
      <c r="N238" s="2"/>
      <c r="O238" s="2"/>
      <c r="P238" s="2"/>
      <c r="Q238" s="2"/>
      <c r="R238" s="2"/>
      <c r="S238" s="4"/>
      <c r="T238" s="2"/>
      <c r="U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2"/>
      <c r="M239" s="2"/>
      <c r="N239" s="2"/>
      <c r="O239" s="2"/>
      <c r="P239" s="2"/>
      <c r="Q239" s="2"/>
      <c r="R239" s="2"/>
      <c r="S239" s="4"/>
      <c r="T239" s="2"/>
      <c r="U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2"/>
      <c r="M240" s="2"/>
      <c r="N240" s="2"/>
      <c r="O240" s="2"/>
      <c r="P240" s="2"/>
      <c r="Q240" s="2"/>
      <c r="R240" s="2"/>
      <c r="S240" s="4"/>
      <c r="T240" s="2"/>
      <c r="U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2"/>
      <c r="M241" s="2"/>
      <c r="N241" s="2"/>
      <c r="O241" s="2"/>
      <c r="P241" s="2"/>
      <c r="Q241" s="2"/>
      <c r="R241" s="2"/>
      <c r="S241" s="4"/>
      <c r="T241" s="2"/>
      <c r="U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2"/>
      <c r="M242" s="2"/>
      <c r="N242" s="2"/>
      <c r="O242" s="2"/>
      <c r="P242" s="2"/>
      <c r="Q242" s="2"/>
      <c r="R242" s="2"/>
      <c r="S242" s="4"/>
      <c r="T242" s="2"/>
      <c r="U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2"/>
      <c r="M243" s="2"/>
      <c r="N243" s="2"/>
      <c r="O243" s="2"/>
      <c r="P243" s="2"/>
      <c r="Q243" s="2"/>
      <c r="R243" s="2"/>
      <c r="S243" s="4"/>
      <c r="T243" s="2"/>
      <c r="U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2"/>
      <c r="M244" s="2"/>
      <c r="N244" s="2"/>
      <c r="O244" s="2"/>
      <c r="P244" s="2"/>
      <c r="Q244" s="2"/>
      <c r="R244" s="2"/>
      <c r="S244" s="4"/>
      <c r="T244" s="2"/>
      <c r="U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2"/>
      <c r="M245" s="2"/>
      <c r="N245" s="2"/>
      <c r="O245" s="2"/>
      <c r="P245" s="2"/>
      <c r="Q245" s="2"/>
      <c r="R245" s="2"/>
      <c r="S245" s="4"/>
      <c r="T245" s="2"/>
      <c r="U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2"/>
      <c r="M246" s="2"/>
      <c r="N246" s="2"/>
      <c r="O246" s="2"/>
      <c r="P246" s="2"/>
      <c r="Q246" s="2"/>
      <c r="R246" s="2"/>
      <c r="S246" s="4"/>
      <c r="T246" s="2"/>
      <c r="U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2"/>
      <c r="M247" s="2"/>
      <c r="N247" s="2"/>
      <c r="O247" s="2"/>
      <c r="P247" s="2"/>
      <c r="Q247" s="2"/>
      <c r="R247" s="2"/>
      <c r="S247" s="4"/>
      <c r="T247" s="2"/>
      <c r="U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2"/>
      <c r="M248" s="2"/>
      <c r="N248" s="2"/>
      <c r="O248" s="2"/>
      <c r="P248" s="2"/>
      <c r="Q248" s="2"/>
      <c r="R248" s="2"/>
      <c r="S248" s="4"/>
      <c r="T248" s="2"/>
      <c r="U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2"/>
      <c r="M249" s="2"/>
      <c r="N249" s="2"/>
      <c r="O249" s="2"/>
      <c r="P249" s="2"/>
      <c r="Q249" s="2"/>
      <c r="R249" s="2"/>
      <c r="S249" s="4"/>
      <c r="T249" s="2"/>
      <c r="U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2"/>
      <c r="M250" s="2"/>
      <c r="N250" s="2"/>
      <c r="O250" s="2"/>
      <c r="P250" s="2"/>
      <c r="Q250" s="2"/>
      <c r="R250" s="2"/>
      <c r="S250" s="4"/>
      <c r="T250" s="2"/>
      <c r="U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2"/>
      <c r="M251" s="2"/>
      <c r="N251" s="2"/>
      <c r="O251" s="2"/>
      <c r="P251" s="2"/>
      <c r="Q251" s="2"/>
      <c r="R251" s="2"/>
      <c r="S251" s="4"/>
      <c r="T251" s="2"/>
      <c r="U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2"/>
      <c r="M252" s="2"/>
      <c r="N252" s="2"/>
      <c r="O252" s="2"/>
      <c r="P252" s="2"/>
      <c r="Q252" s="2"/>
      <c r="R252" s="2"/>
      <c r="S252" s="4"/>
      <c r="T252" s="2"/>
      <c r="U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2"/>
      <c r="M253" s="2"/>
      <c r="N253" s="2"/>
      <c r="O253" s="2"/>
      <c r="P253" s="2"/>
      <c r="Q253" s="2"/>
      <c r="R253" s="2"/>
      <c r="S253" s="4"/>
      <c r="T253" s="2"/>
      <c r="U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2"/>
      <c r="M254" s="2"/>
      <c r="N254" s="2"/>
      <c r="O254" s="2"/>
      <c r="P254" s="2"/>
      <c r="Q254" s="2"/>
      <c r="R254" s="2"/>
      <c r="S254" s="4"/>
      <c r="T254" s="2"/>
      <c r="U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2"/>
      <c r="M255" s="2"/>
      <c r="N255" s="2"/>
      <c r="O255" s="2"/>
      <c r="P255" s="2"/>
      <c r="Q255" s="2"/>
      <c r="R255" s="2"/>
      <c r="S255" s="4"/>
      <c r="T255" s="2"/>
      <c r="U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2"/>
      <c r="M256" s="2"/>
      <c r="N256" s="2"/>
      <c r="O256" s="2"/>
      <c r="P256" s="2"/>
      <c r="Q256" s="2"/>
      <c r="R256" s="2"/>
      <c r="S256" s="4"/>
      <c r="T256" s="2"/>
      <c r="U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2"/>
      <c r="M257" s="2"/>
      <c r="N257" s="2"/>
      <c r="O257" s="2"/>
      <c r="P257" s="2"/>
      <c r="Q257" s="2"/>
      <c r="R257" s="2"/>
      <c r="S257" s="4"/>
      <c r="T257" s="2"/>
      <c r="U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2"/>
      <c r="M258" s="2"/>
      <c r="N258" s="2"/>
      <c r="O258" s="2"/>
      <c r="P258" s="2"/>
      <c r="Q258" s="2"/>
      <c r="R258" s="2"/>
      <c r="S258" s="4"/>
      <c r="T258" s="2"/>
      <c r="U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2"/>
      <c r="M259" s="2"/>
      <c r="N259" s="2"/>
      <c r="O259" s="2"/>
      <c r="P259" s="2"/>
      <c r="Q259" s="2"/>
      <c r="R259" s="2"/>
      <c r="S259" s="4"/>
      <c r="T259" s="2"/>
      <c r="U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2"/>
      <c r="M260" s="2"/>
      <c r="N260" s="2"/>
      <c r="O260" s="2"/>
      <c r="P260" s="2"/>
      <c r="Q260" s="2"/>
      <c r="R260" s="2"/>
      <c r="S260" s="4"/>
      <c r="T260" s="2"/>
      <c r="U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2"/>
      <c r="M261" s="2"/>
      <c r="N261" s="2"/>
      <c r="O261" s="2"/>
      <c r="P261" s="2"/>
      <c r="Q261" s="2"/>
      <c r="R261" s="2"/>
      <c r="S261" s="4"/>
      <c r="T261" s="2"/>
      <c r="U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2"/>
      <c r="M262" s="2"/>
      <c r="N262" s="2"/>
      <c r="O262" s="2"/>
      <c r="P262" s="2"/>
      <c r="Q262" s="2"/>
      <c r="R262" s="2"/>
      <c r="S262" s="4"/>
      <c r="T262" s="2"/>
      <c r="U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2"/>
      <c r="M263" s="2"/>
      <c r="N263" s="2"/>
      <c r="O263" s="2"/>
      <c r="P263" s="2"/>
      <c r="Q263" s="2"/>
      <c r="R263" s="2"/>
      <c r="S263" s="4"/>
      <c r="T263" s="2"/>
      <c r="U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2"/>
      <c r="M264" s="2"/>
      <c r="N264" s="2"/>
      <c r="O264" s="2"/>
      <c r="P264" s="2"/>
      <c r="Q264" s="2"/>
      <c r="R264" s="2"/>
      <c r="S264" s="4"/>
      <c r="T264" s="2"/>
      <c r="U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2"/>
      <c r="M265" s="2"/>
      <c r="N265" s="2"/>
      <c r="O265" s="2"/>
      <c r="P265" s="2"/>
      <c r="Q265" s="2"/>
      <c r="R265" s="2"/>
      <c r="S265" s="4"/>
      <c r="T265" s="2"/>
      <c r="U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2"/>
      <c r="M266" s="2"/>
      <c r="N266" s="2"/>
      <c r="O266" s="2"/>
      <c r="P266" s="2"/>
      <c r="Q266" s="2"/>
      <c r="R266" s="2"/>
      <c r="S266" s="4"/>
      <c r="T266" s="2"/>
      <c r="U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2"/>
      <c r="M267" s="2"/>
      <c r="N267" s="2"/>
      <c r="O267" s="2"/>
      <c r="P267" s="2"/>
      <c r="Q267" s="2"/>
      <c r="R267" s="2"/>
      <c r="S267" s="4"/>
      <c r="T267" s="2"/>
      <c r="U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2"/>
      <c r="M268" s="2"/>
      <c r="N268" s="2"/>
      <c r="O268" s="2"/>
      <c r="P268" s="2"/>
      <c r="Q268" s="2"/>
      <c r="R268" s="2"/>
      <c r="S268" s="4"/>
      <c r="T268" s="2"/>
      <c r="U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2"/>
      <c r="M269" s="2"/>
      <c r="N269" s="2"/>
      <c r="O269" s="2"/>
      <c r="P269" s="2"/>
      <c r="Q269" s="2"/>
      <c r="R269" s="2"/>
      <c r="S269" s="4"/>
      <c r="T269" s="2"/>
      <c r="U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2"/>
      <c r="M270" s="2"/>
      <c r="N270" s="2"/>
      <c r="O270" s="2"/>
      <c r="P270" s="2"/>
      <c r="Q270" s="2"/>
      <c r="R270" s="2"/>
      <c r="S270" s="4"/>
      <c r="T270" s="2"/>
      <c r="U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2"/>
      <c r="M271" s="2"/>
      <c r="N271" s="2"/>
      <c r="O271" s="2"/>
      <c r="P271" s="2"/>
      <c r="Q271" s="2"/>
      <c r="R271" s="2"/>
      <c r="S271" s="4"/>
      <c r="T271" s="2"/>
      <c r="U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2"/>
      <c r="M272" s="2"/>
      <c r="N272" s="2"/>
      <c r="O272" s="2"/>
      <c r="P272" s="2"/>
      <c r="Q272" s="2"/>
      <c r="R272" s="2"/>
      <c r="S272" s="4"/>
      <c r="T272" s="2"/>
      <c r="U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2"/>
      <c r="M273" s="2"/>
      <c r="N273" s="2"/>
      <c r="O273" s="2"/>
      <c r="P273" s="2"/>
      <c r="Q273" s="2"/>
      <c r="R273" s="2"/>
      <c r="S273" s="4"/>
      <c r="T273" s="2"/>
      <c r="U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2"/>
      <c r="M274" s="2"/>
      <c r="N274" s="2"/>
      <c r="O274" s="2"/>
      <c r="P274" s="2"/>
      <c r="Q274" s="2"/>
      <c r="R274" s="2"/>
      <c r="S274" s="4"/>
      <c r="T274" s="2"/>
      <c r="U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2"/>
      <c r="M275" s="2"/>
      <c r="N275" s="2"/>
      <c r="O275" s="2"/>
      <c r="P275" s="2"/>
      <c r="Q275" s="2"/>
      <c r="R275" s="2"/>
      <c r="S275" s="4"/>
      <c r="T275" s="2"/>
      <c r="U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2"/>
      <c r="M276" s="2"/>
      <c r="N276" s="2"/>
      <c r="O276" s="2"/>
      <c r="P276" s="2"/>
      <c r="Q276" s="2"/>
      <c r="R276" s="2"/>
      <c r="S276" s="4"/>
      <c r="T276" s="2"/>
      <c r="U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2"/>
      <c r="M277" s="2"/>
      <c r="N277" s="2"/>
      <c r="O277" s="2"/>
      <c r="P277" s="2"/>
      <c r="Q277" s="2"/>
      <c r="R277" s="2"/>
      <c r="S277" s="4"/>
      <c r="T277" s="2"/>
      <c r="U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2"/>
      <c r="M278" s="2"/>
      <c r="N278" s="2"/>
      <c r="O278" s="2"/>
      <c r="P278" s="2"/>
      <c r="Q278" s="2"/>
      <c r="R278" s="2"/>
      <c r="S278" s="4"/>
      <c r="T278" s="2"/>
      <c r="U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2"/>
      <c r="M279" s="2"/>
      <c r="N279" s="2"/>
      <c r="O279" s="2"/>
      <c r="P279" s="2"/>
      <c r="Q279" s="2"/>
      <c r="R279" s="2"/>
      <c r="S279" s="4"/>
      <c r="T279" s="2"/>
      <c r="U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2"/>
      <c r="M280" s="2"/>
      <c r="N280" s="2"/>
      <c r="O280" s="2"/>
      <c r="P280" s="2"/>
      <c r="Q280" s="2"/>
      <c r="R280" s="2"/>
      <c r="S280" s="4"/>
      <c r="T280" s="2"/>
      <c r="U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2"/>
      <c r="M281" s="2"/>
      <c r="N281" s="2"/>
      <c r="O281" s="2"/>
      <c r="P281" s="2"/>
      <c r="Q281" s="2"/>
      <c r="R281" s="2"/>
      <c r="S281" s="4"/>
      <c r="T281" s="2"/>
      <c r="U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2"/>
      <c r="M282" s="2"/>
      <c r="N282" s="2"/>
      <c r="O282" s="2"/>
      <c r="P282" s="2"/>
      <c r="Q282" s="2"/>
      <c r="R282" s="2"/>
      <c r="S282" s="4"/>
      <c r="T282" s="2"/>
      <c r="U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2"/>
      <c r="M283" s="2"/>
      <c r="N283" s="2"/>
      <c r="O283" s="2"/>
      <c r="P283" s="2"/>
      <c r="Q283" s="2"/>
      <c r="R283" s="2"/>
      <c r="S283" s="4"/>
      <c r="T283" s="2"/>
      <c r="U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2"/>
      <c r="M284" s="2"/>
      <c r="N284" s="2"/>
      <c r="O284" s="2"/>
      <c r="P284" s="2"/>
      <c r="Q284" s="2"/>
      <c r="R284" s="2"/>
      <c r="S284" s="4"/>
      <c r="T284" s="2"/>
      <c r="U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2"/>
      <c r="M285" s="2"/>
      <c r="N285" s="2"/>
      <c r="O285" s="2"/>
      <c r="P285" s="2"/>
      <c r="Q285" s="2"/>
      <c r="R285" s="2"/>
      <c r="S285" s="4"/>
      <c r="T285" s="2"/>
      <c r="U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2"/>
      <c r="M286" s="2"/>
      <c r="N286" s="2"/>
      <c r="O286" s="2"/>
      <c r="P286" s="2"/>
      <c r="Q286" s="2"/>
      <c r="R286" s="2"/>
      <c r="S286" s="4"/>
      <c r="T286" s="2"/>
      <c r="U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2"/>
      <c r="M287" s="2"/>
      <c r="N287" s="2"/>
      <c r="O287" s="2"/>
      <c r="P287" s="2"/>
      <c r="Q287" s="2"/>
      <c r="R287" s="2"/>
      <c r="S287" s="4"/>
      <c r="T287" s="2"/>
      <c r="U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2"/>
      <c r="M288" s="2"/>
      <c r="N288" s="2"/>
      <c r="O288" s="2"/>
      <c r="P288" s="2"/>
      <c r="Q288" s="2"/>
      <c r="R288" s="2"/>
      <c r="S288" s="4"/>
      <c r="T288" s="2"/>
      <c r="U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2"/>
      <c r="M289" s="2"/>
      <c r="N289" s="2"/>
      <c r="O289" s="2"/>
      <c r="P289" s="2"/>
      <c r="Q289" s="2"/>
      <c r="R289" s="2"/>
      <c r="S289" s="4"/>
      <c r="T289" s="2"/>
      <c r="U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2"/>
      <c r="M290" s="2"/>
      <c r="N290" s="2"/>
      <c r="O290" s="2"/>
      <c r="P290" s="2"/>
      <c r="Q290" s="2"/>
      <c r="R290" s="2"/>
      <c r="S290" s="4"/>
      <c r="T290" s="2"/>
      <c r="U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2"/>
      <c r="M291" s="2"/>
      <c r="N291" s="2"/>
      <c r="O291" s="2"/>
      <c r="P291" s="2"/>
      <c r="Q291" s="2"/>
      <c r="R291" s="2"/>
      <c r="S291" s="4"/>
      <c r="T291" s="2"/>
      <c r="U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2"/>
      <c r="M292" s="2"/>
      <c r="N292" s="2"/>
      <c r="O292" s="2"/>
      <c r="P292" s="2"/>
      <c r="Q292" s="2"/>
      <c r="R292" s="2"/>
      <c r="S292" s="4"/>
      <c r="T292" s="2"/>
      <c r="U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2"/>
      <c r="M293" s="2"/>
      <c r="N293" s="2"/>
      <c r="O293" s="2"/>
      <c r="P293" s="2"/>
      <c r="Q293" s="2"/>
      <c r="R293" s="2"/>
      <c r="S293" s="4"/>
      <c r="T293" s="2"/>
      <c r="U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2"/>
      <c r="M294" s="2"/>
      <c r="N294" s="2"/>
      <c r="O294" s="2"/>
      <c r="P294" s="2"/>
      <c r="Q294" s="2"/>
      <c r="R294" s="2"/>
      <c r="S294" s="4"/>
      <c r="T294" s="2"/>
      <c r="U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2"/>
      <c r="M295" s="2"/>
      <c r="N295" s="2"/>
      <c r="O295" s="2"/>
      <c r="P295" s="2"/>
      <c r="Q295" s="2"/>
      <c r="R295" s="2"/>
      <c r="S295" s="4"/>
      <c r="T295" s="2"/>
      <c r="U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2"/>
      <c r="M296" s="2"/>
      <c r="N296" s="2"/>
      <c r="O296" s="2"/>
      <c r="P296" s="2"/>
      <c r="Q296" s="2"/>
      <c r="R296" s="2"/>
      <c r="S296" s="4"/>
      <c r="T296" s="2"/>
      <c r="U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2"/>
      <c r="M297" s="2"/>
      <c r="N297" s="2"/>
      <c r="O297" s="2"/>
      <c r="P297" s="2"/>
      <c r="Q297" s="2"/>
      <c r="R297" s="2"/>
      <c r="S297" s="4"/>
      <c r="T297" s="2"/>
      <c r="U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2"/>
      <c r="M298" s="2"/>
      <c r="N298" s="2"/>
      <c r="O298" s="2"/>
      <c r="P298" s="2"/>
      <c r="Q298" s="2"/>
      <c r="R298" s="2"/>
      <c r="S298" s="4"/>
      <c r="T298" s="2"/>
      <c r="U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2"/>
      <c r="M299" s="2"/>
      <c r="N299" s="2"/>
      <c r="O299" s="2"/>
      <c r="P299" s="2"/>
      <c r="Q299" s="2"/>
      <c r="R299" s="2"/>
      <c r="S299" s="4"/>
      <c r="T299" s="2"/>
      <c r="U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2"/>
      <c r="M300" s="2"/>
      <c r="N300" s="2"/>
      <c r="O300" s="2"/>
      <c r="P300" s="2"/>
      <c r="Q300" s="2"/>
      <c r="R300" s="2"/>
      <c r="S300" s="4"/>
      <c r="T300" s="2"/>
      <c r="U300" s="2"/>
    </row>
  </sheetData>
  <autoFilter ref="A1:U300"/>
  <conditionalFormatting sqref="Q2:Q300">
    <cfRule type="expression" priority="2" aboveAverage="0" equalAverage="0" bottom="0" percent="0" rank="0" text="" dxfId="5">
      <formula>$Q2="Active"</formula>
    </cfRule>
    <cfRule type="expression" priority="3" aboveAverage="0" equalAverage="0" bottom="0" percent="0" rank="0" text="" dxfId="6">
      <formula>$Q2="Inactive"</formula>
    </cfRule>
    <cfRule type="expression" priority="4" aboveAverage="0" equalAverage="0" bottom="0" percent="0" rank="0" text="" dxfId="7">
      <formula>$Q2="Pending Verification"</formula>
    </cfRule>
  </conditionalFormatting>
  <conditionalFormatting sqref="R2:R300">
    <cfRule type="expression" priority="5" aboveAverage="0" equalAverage="0" bottom="0" percent="0" rank="0" text="" dxfId="7">
      <formula>$R2="No"</formula>
    </cfRule>
    <cfRule type="expression" priority="6" aboveAverage="0" equalAverage="0" bottom="0" percent="0" rank="0" text="" dxfId="5">
      <formula>$R2="Yes"</formula>
    </cfRule>
  </conditionalFormatting>
  <dataValidations count="6">
    <dataValidation allowBlank="true" errorStyle="stop" operator="between" showDropDown="false" showErrorMessage="false" showInputMessage="false" sqref="C2:C300" type="list">
      <formula1>"Shimla,Manali,Kullu,Kangra,Spiti,Kinnaur,Solan,Sirmaur"</formula1>
      <formula2>0</formula2>
    </dataValidation>
    <dataValidation allowBlank="true" errorStyle="stop" operator="between" showDropDown="false" showErrorMessage="false" showInputMessage="false" sqref="E2:E300" type="list">
      <formula1>"Budget,Standard,Premium,Luxury"</formula1>
      <formula2>0</formula2>
    </dataValidation>
    <dataValidation allowBlank="true" errorStyle="stop" operator="between" showDropDown="false" showErrorMessage="false" showInputMessage="false" sqref="Q2:Q300" type="list">
      <formula1>"Active,Inactive,Pending Verification"</formula1>
      <formula2>0</formula2>
    </dataValidation>
    <dataValidation allowBlank="true" errorStyle="stop" operator="between" showDropDown="false" showErrorMessage="false" showInputMessage="false" sqref="R2:R300" type="list">
      <formula1>"Yes,No"</formula1>
      <formula2>0</formula2>
    </dataValidation>
    <dataValidation allowBlank="true" errorStyle="stop" operator="between" showDropDown="false" showErrorMessage="false" showInputMessage="false" sqref="L2:L300" type="list">
      <formula1>"EP,CP,MAP,AP"</formula1>
      <formula2>0</formula2>
    </dataValidation>
    <dataValidation allowBlank="true" errorStyle="stop" operator="between" showDropDown="false" showErrorMessage="false" showInputMessage="false" sqref="F2:F3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5" t="s">
        <v>54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55</v>
      </c>
      <c r="B2" s="6"/>
      <c r="C2" s="6"/>
      <c r="D2" s="6"/>
      <c r="E2" s="6"/>
      <c r="F2" s="6"/>
    </row>
    <row r="4" customFormat="false" ht="15" hidden="false" customHeight="false" outlineLevel="0" collapsed="false">
      <c r="A4" s="7" t="s">
        <v>56</v>
      </c>
    </row>
    <row r="5" customFormat="false" ht="15" hidden="false" customHeight="false" outlineLevel="0" collapsed="false">
      <c r="A5" s="8" t="s">
        <v>57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8" t="s">
        <v>58</v>
      </c>
      <c r="B6" s="8"/>
      <c r="C6" s="8"/>
      <c r="D6" s="8"/>
      <c r="E6" s="8"/>
      <c r="F6" s="8"/>
    </row>
    <row r="7" customFormat="false" ht="15" hidden="false" customHeight="false" outlineLevel="0" collapsed="false">
      <c r="A7" s="8" t="s">
        <v>59</v>
      </c>
      <c r="B7" s="8"/>
      <c r="C7" s="8"/>
      <c r="D7" s="8"/>
      <c r="E7" s="8"/>
      <c r="F7" s="8"/>
    </row>
    <row r="8" customFormat="false" ht="15" hidden="false" customHeight="false" outlineLevel="0" collapsed="false">
      <c r="A8" s="8" t="s">
        <v>60</v>
      </c>
      <c r="B8" s="8"/>
      <c r="C8" s="8"/>
      <c r="D8" s="8"/>
      <c r="E8" s="8"/>
      <c r="F8" s="8"/>
    </row>
    <row r="9" customFormat="false" ht="15" hidden="false" customHeight="false" outlineLevel="0" collapsed="false">
      <c r="A9" s="8" t="s">
        <v>61</v>
      </c>
      <c r="B9" s="8"/>
      <c r="C9" s="8"/>
      <c r="D9" s="8"/>
      <c r="E9" s="8"/>
      <c r="F9" s="8"/>
    </row>
    <row r="10" customFormat="false" ht="15" hidden="false" customHeight="false" outlineLevel="0" collapsed="false">
      <c r="A10" s="8" t="s">
        <v>62</v>
      </c>
      <c r="B10" s="8"/>
      <c r="C10" s="8"/>
      <c r="D10" s="8"/>
      <c r="E10" s="8"/>
      <c r="F10" s="8"/>
    </row>
    <row r="12" customFormat="false" ht="15" hidden="false" customHeight="false" outlineLevel="0" collapsed="false">
      <c r="A12" s="7" t="s">
        <v>63</v>
      </c>
    </row>
    <row r="13" customFormat="false" ht="15" hidden="false" customHeight="false" outlineLevel="0" collapsed="false">
      <c r="A13" s="9" t="s">
        <v>64</v>
      </c>
      <c r="C13" s="10" t="n">
        <f aca="false">COUNTA(Hotels!A2:A300)-COUNTBLANK(Hotels!A2:A300)</f>
        <v>-293</v>
      </c>
    </row>
    <row r="14" customFormat="false" ht="15" hidden="false" customHeight="false" outlineLevel="0" collapsed="false">
      <c r="A14" s="9" t="s">
        <v>65</v>
      </c>
      <c r="C14" s="10" t="n">
        <f aca="false">COUNTIF(Hotels!Q2:Q300,"Active")</f>
        <v>3</v>
      </c>
    </row>
    <row r="15" customFormat="false" ht="15" hidden="false" customHeight="false" outlineLevel="0" collapsed="false">
      <c r="A15" s="9" t="s">
        <v>66</v>
      </c>
      <c r="C15" s="10" t="n">
        <f aca="false">COUNTIF(Hotels!Q2:Q300,"Pending Verification")</f>
        <v>0</v>
      </c>
    </row>
    <row r="16" customFormat="false" ht="15" hidden="false" customHeight="false" outlineLevel="0" collapsed="false">
      <c r="A16" s="9" t="s">
        <v>67</v>
      </c>
      <c r="C16" s="10" t="n">
        <f aca="false">COUNTIF(Hotels!R2:R300,"No")</f>
        <v>1</v>
      </c>
    </row>
    <row r="17" customFormat="false" ht="15" hidden="false" customHeight="false" outlineLevel="0" collapsed="false">
      <c r="A17" s="9" t="s">
        <v>68</v>
      </c>
      <c r="C17" s="11" t="n">
        <f aca="false">ROUND(AVERAGEIF(Hotels!Q2:Q300,"Active",Hotels!H2:H300),0)</f>
        <v>3267</v>
      </c>
    </row>
    <row r="20" customFormat="false" ht="15" hidden="false" customHeight="false" outlineLevel="0" collapsed="false">
      <c r="A20" s="7" t="s">
        <v>69</v>
      </c>
    </row>
    <row r="21" customFormat="false" ht="15" hidden="false" customHeight="false" outlineLevel="0" collapsed="false">
      <c r="A21" s="12" t="s">
        <v>2</v>
      </c>
      <c r="B21" s="12" t="s">
        <v>70</v>
      </c>
      <c r="C21" s="12" t="s">
        <v>71</v>
      </c>
    </row>
    <row r="22" customFormat="false" ht="15" hidden="false" customHeight="false" outlineLevel="0" collapsed="false">
      <c r="A22" s="2" t="s">
        <v>46</v>
      </c>
      <c r="B22" s="2" t="n">
        <f aca="false">COUNTIFS(Hotels!C2:C300,A22,Hotels!Q2:Q300,"Active")</f>
        <v>1</v>
      </c>
      <c r="C22" s="13" t="str">
        <f aca="false">IFERROR(minifs(Hotels!H2:H300,Hotels!C2:C300,A22,Hotels!Q2:Q300,"Active"),"-")</f>
        <v>-</v>
      </c>
    </row>
    <row r="23" customFormat="false" ht="15" hidden="false" customHeight="false" outlineLevel="0" collapsed="false">
      <c r="A23" s="2" t="s">
        <v>23</v>
      </c>
      <c r="B23" s="2" t="n">
        <f aca="false">COUNTIFS(Hotels!C2:C300,A23,Hotels!Q2:Q300,"Active")</f>
        <v>2</v>
      </c>
      <c r="C23" s="13" t="str">
        <f aca="false">IFERROR(minifs(Hotels!H2:H300,Hotels!C2:C300,A23,Hotels!Q2:Q300,"Active"),"-")</f>
        <v>-</v>
      </c>
    </row>
    <row r="24" customFormat="false" ht="15" hidden="false" customHeight="false" outlineLevel="0" collapsed="false">
      <c r="A24" s="2" t="s">
        <v>72</v>
      </c>
      <c r="B24" s="2" t="n">
        <f aca="false">COUNTIFS(Hotels!C2:C300,A24,Hotels!Q2:Q300,"Active")</f>
        <v>0</v>
      </c>
      <c r="C24" s="13" t="str">
        <f aca="false">IFERROR(minifs(Hotels!H2:H300,Hotels!C2:C300,A24,Hotels!Q2:Q300,"Active"),"-")</f>
        <v>-</v>
      </c>
    </row>
    <row r="25" customFormat="false" ht="15" hidden="false" customHeight="false" outlineLevel="0" collapsed="false">
      <c r="A25" s="2" t="s">
        <v>73</v>
      </c>
      <c r="B25" s="2" t="n">
        <f aca="false">COUNTIFS(Hotels!C2:C300,A25,Hotels!Q2:Q300,"Active")</f>
        <v>0</v>
      </c>
      <c r="C25" s="13" t="str">
        <f aca="false">IFERROR(minifs(Hotels!H2:H300,Hotels!C2:C300,A25,Hotels!Q2:Q300,"Active"),"-")</f>
        <v>-</v>
      </c>
    </row>
    <row r="26" customFormat="false" ht="15" hidden="false" customHeight="false" outlineLevel="0" collapsed="false">
      <c r="A26" s="2" t="s">
        <v>74</v>
      </c>
      <c r="B26" s="2" t="n">
        <f aca="false">COUNTIFS(Hotels!C2:C300,A26,Hotels!Q2:Q300,"Active")</f>
        <v>0</v>
      </c>
      <c r="C26" s="13" t="str">
        <f aca="false">IFERROR(minifs(Hotels!H2:H300,Hotels!C2:C300,A26,Hotels!Q2:Q300,"Active"),"-")</f>
        <v>-</v>
      </c>
    </row>
    <row r="27" customFormat="false" ht="15" hidden="false" customHeight="false" outlineLevel="0" collapsed="false">
      <c r="A27" s="2" t="s">
        <v>75</v>
      </c>
      <c r="B27" s="2" t="n">
        <f aca="false">COUNTIFS(Hotels!C2:C300,A27,Hotels!Q2:Q300,"Active")</f>
        <v>0</v>
      </c>
      <c r="C27" s="13" t="str">
        <f aca="false">IFERROR(minifs(Hotels!H2:H300,Hotels!C2:C300,A27,Hotels!Q2:Q300,"Active"),"-")</f>
        <v>-</v>
      </c>
    </row>
    <row r="28" customFormat="false" ht="15" hidden="false" customHeight="false" outlineLevel="0" collapsed="false">
      <c r="A28" s="2" t="s">
        <v>76</v>
      </c>
      <c r="B28" s="2" t="n">
        <f aca="false">COUNTIFS(Hotels!C2:C300,A28,Hotels!Q2:Q300,"Active")</f>
        <v>0</v>
      </c>
      <c r="C28" s="13" t="str">
        <f aca="false">IFERROR(minifs(Hotels!H2:H300,Hotels!C2:C300,A28,Hotels!Q2:Q300,"Active"),"-")</f>
        <v>-</v>
      </c>
    </row>
    <row r="29" customFormat="false" ht="15" hidden="false" customHeight="false" outlineLevel="0" collapsed="false">
      <c r="A29" s="2" t="s">
        <v>77</v>
      </c>
      <c r="B29" s="2" t="n">
        <f aca="false">COUNTIFS(Hotels!C2:C300,A29,Hotels!Q2:Q300,"Active")</f>
        <v>0</v>
      </c>
      <c r="C29" s="13" t="str">
        <f aca="false">IFERROR(minifs(Hotels!H2:H300,Hotels!C2:C300,A29,Hotels!Q2:Q300,"Active"),"-")</f>
        <v>-</v>
      </c>
    </row>
  </sheetData>
  <mergeCells count="8">
    <mergeCell ref="A1:F1"/>
    <mergeCell ref="A2:F2"/>
    <mergeCell ref="A5:F5"/>
    <mergeCell ref="A6:F6"/>
    <mergeCell ref="A7:F7"/>
    <mergeCell ref="A8:F8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5" t="s">
        <v>78</v>
      </c>
      <c r="B1" s="5"/>
      <c r="C1" s="5"/>
      <c r="D1" s="5"/>
    </row>
    <row r="2" customFormat="false" ht="15" hidden="false" customHeight="false" outlineLevel="0" collapsed="false">
      <c r="A2" s="6" t="s">
        <v>79</v>
      </c>
      <c r="B2" s="6"/>
      <c r="C2" s="6"/>
      <c r="D2" s="6"/>
    </row>
    <row r="4" customFormat="false" ht="15" hidden="false" customHeight="false" outlineLevel="0" collapsed="false">
      <c r="A4" s="14" t="s">
        <v>80</v>
      </c>
      <c r="B4" s="14" t="s">
        <v>81</v>
      </c>
      <c r="C4" s="14" t="s">
        <v>19</v>
      </c>
    </row>
    <row r="5" customFormat="false" ht="15" hidden="false" customHeight="false" outlineLevel="0" collapsed="false">
      <c r="A5" s="15" t="s">
        <v>0</v>
      </c>
      <c r="B5" s="15" t="s">
        <v>82</v>
      </c>
      <c r="C5" s="15" t="s">
        <v>83</v>
      </c>
    </row>
    <row r="6" customFormat="false" ht="15" hidden="false" customHeight="false" outlineLevel="0" collapsed="false">
      <c r="A6" s="15" t="s">
        <v>1</v>
      </c>
      <c r="B6" s="15" t="s">
        <v>84</v>
      </c>
      <c r="C6" s="15"/>
    </row>
    <row r="7" customFormat="false" ht="15" hidden="false" customHeight="false" outlineLevel="0" collapsed="false">
      <c r="A7" s="15" t="s">
        <v>2</v>
      </c>
      <c r="B7" s="15" t="s">
        <v>85</v>
      </c>
      <c r="C7" s="15" t="s">
        <v>86</v>
      </c>
    </row>
    <row r="8" customFormat="false" ht="15" hidden="false" customHeight="false" outlineLevel="0" collapsed="false">
      <c r="A8" s="15" t="s">
        <v>3</v>
      </c>
      <c r="B8" s="15" t="s">
        <v>87</v>
      </c>
      <c r="C8" s="15"/>
    </row>
    <row r="9" customFormat="false" ht="23.85" hidden="false" customHeight="false" outlineLevel="0" collapsed="false">
      <c r="A9" s="15" t="s">
        <v>4</v>
      </c>
      <c r="B9" s="15" t="s">
        <v>88</v>
      </c>
      <c r="C9" s="15" t="s">
        <v>89</v>
      </c>
    </row>
    <row r="10" customFormat="false" ht="15" hidden="false" customHeight="false" outlineLevel="0" collapsed="false">
      <c r="A10" s="15" t="s">
        <v>5</v>
      </c>
      <c r="B10" s="15" t="s">
        <v>90</v>
      </c>
      <c r="C10" s="15" t="s">
        <v>91</v>
      </c>
    </row>
    <row r="11" customFormat="false" ht="15" hidden="false" customHeight="false" outlineLevel="0" collapsed="false">
      <c r="A11" s="15" t="s">
        <v>6</v>
      </c>
      <c r="B11" s="15" t="s">
        <v>92</v>
      </c>
      <c r="C11" s="15"/>
    </row>
    <row r="12" customFormat="false" ht="15" hidden="false" customHeight="false" outlineLevel="0" collapsed="false">
      <c r="A12" s="15" t="s">
        <v>7</v>
      </c>
      <c r="B12" s="15" t="s">
        <v>93</v>
      </c>
      <c r="C12" s="15" t="s">
        <v>94</v>
      </c>
    </row>
    <row r="13" customFormat="false" ht="15" hidden="false" customHeight="false" outlineLevel="0" collapsed="false">
      <c r="A13" s="15" t="s">
        <v>8</v>
      </c>
      <c r="B13" s="15" t="s">
        <v>95</v>
      </c>
      <c r="C13" s="15"/>
    </row>
    <row r="14" customFormat="false" ht="15" hidden="false" customHeight="false" outlineLevel="0" collapsed="false">
      <c r="A14" s="15" t="s">
        <v>9</v>
      </c>
      <c r="B14" s="15" t="s">
        <v>96</v>
      </c>
      <c r="C14" s="15"/>
    </row>
    <row r="15" customFormat="false" ht="15" hidden="false" customHeight="false" outlineLevel="0" collapsed="false">
      <c r="A15" s="15" t="s">
        <v>10</v>
      </c>
      <c r="B15" s="15" t="s">
        <v>97</v>
      </c>
      <c r="C15" s="15"/>
    </row>
    <row r="16" customFormat="false" ht="15" hidden="false" customHeight="false" outlineLevel="0" collapsed="false">
      <c r="A16" s="15" t="s">
        <v>11</v>
      </c>
      <c r="B16" s="15" t="s">
        <v>98</v>
      </c>
      <c r="C16" s="15" t="s">
        <v>99</v>
      </c>
    </row>
    <row r="17" customFormat="false" ht="23.85" hidden="false" customHeight="false" outlineLevel="0" collapsed="false">
      <c r="A17" s="15" t="s">
        <v>100</v>
      </c>
      <c r="B17" s="15" t="s">
        <v>101</v>
      </c>
      <c r="C17" s="15" t="s">
        <v>102</v>
      </c>
    </row>
    <row r="18" customFormat="false" ht="23.85" hidden="false" customHeight="false" outlineLevel="0" collapsed="false">
      <c r="A18" s="15" t="s">
        <v>16</v>
      </c>
      <c r="B18" s="15" t="s">
        <v>103</v>
      </c>
      <c r="C18" s="15" t="s">
        <v>104</v>
      </c>
    </row>
    <row r="19" customFormat="false" ht="23.85" hidden="false" customHeight="false" outlineLevel="0" collapsed="false">
      <c r="A19" s="15" t="s">
        <v>20</v>
      </c>
      <c r="B19" s="15" t="s">
        <v>105</v>
      </c>
      <c r="C19" s="15" t="s">
        <v>106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2026-06-24T03:03:20Z</dcterms:created>
  <dc:creator>openpyxl</dc:creator>
  <dc:description/>
  <dc:language>en-US</dc:language>
  <cp:lastModifiedBy/>
  <dcterms:modified xsi:type="dcterms:W3CDTF">2026-06-24T03:03:20Z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